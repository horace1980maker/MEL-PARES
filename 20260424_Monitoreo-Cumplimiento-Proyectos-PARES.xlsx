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ocomercio" sheetId="1" r:id="rId4"/>
    <sheet state="visible" name="CECROPIA" sheetId="2" r:id="rId5"/>
    <sheet state="visible" name="ASOVERDE" sheetId="3" r:id="rId6"/>
    <sheet state="visible" name="FONCET" sheetId="4" r:id="rId7"/>
    <sheet state="visible" name="ADEL" sheetId="5" r:id="rId8"/>
    <sheet state="visible" name="CODDEFFAGOLF" sheetId="6" r:id="rId9"/>
    <sheet state="visible" name="ECO" sheetId="7" r:id="rId10"/>
    <sheet state="visible" name="FENAPROCACAHO" sheetId="8" r:id="rId11"/>
    <sheet state="visible" name="Defensores" sheetId="9" r:id="rId12"/>
    <sheet state="visible" name="Toisan" sheetId="10" r:id="rId13"/>
    <sheet state="visible" name="Tierra Viva" sheetId="11" r:id="rId14"/>
    <sheet state="visible" name="PUCA" sheetId="12" r:id="rId15"/>
  </sheets>
  <definedNames/>
  <calcPr/>
  <extLst>
    <ext uri="GoogleSheetsCustomDataVersion2">
      <go:sheetsCustomData xmlns:go="http://customooxmlschemas.google.com/" r:id="rId16" roundtripDataChecksum="ZUbFi6hUymV+8NW6Jovx59SkaU2/GrYRLJTEROA/uv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8">
      <text>
        <t xml:space="preserve">======
ID#AAAB3IycrkM
ASOVERDE ONG    (2026-04-10 21:14:39)
Se cunta con los diseños de las estructuras</t>
      </text>
    </comment>
    <comment authorId="0" ref="E12">
      <text>
        <t xml:space="preserve">======
ID#AAAB3IycrkI
ASOVERDE ONG    (2026-04-10 21:11:59)
4 visitas por modelo durante el mes de marzo 2026</t>
      </text>
    </comment>
    <comment authorId="0" ref="E5">
      <text>
        <t xml:space="preserve">======
ID#AAAB3IycrkE
ASOVERDE ONG    (2026-04-10 21:06:11)
Ha. Cerro Huexqué</t>
      </text>
    </comment>
    <comment authorId="0" ref="D5">
      <text>
        <t xml:space="preserve">======
ID#AAAB3IycrkA
ASOVERDE ONG    (2026-04-10 20:53:40)
2 ha El Durazno</t>
      </text>
    </comment>
    <comment authorId="0" ref="D12">
      <text>
        <t xml:space="preserve">======
ID#AAAByodES3w
ASOVERDE ONG    (2026-01-15 22:24:43)
6 por modelo durante dic 2025</t>
      </text>
    </comment>
    <comment authorId="0" ref="D13">
      <text>
        <t xml:space="preserve">======
ID#AAAByj-Om2w
ASOVERDE ONG    (2026-01-15 22:24:18)
ADISO y municipalidad San José La Arada</t>
      </text>
    </comment>
    <comment authorId="0" ref="B12">
      <text>
        <t xml:space="preserve">======
ID#AAAByj-Om1o
ASOVERDE ONG    (2026-01-15 22:12:08)
visitas semanales dic 2025 a sep 2026 para cada modelo</t>
      </text>
    </comment>
    <comment authorId="0" ref="B6">
      <text>
        <t xml:space="preserve">======
ID#AAAByj-Om1k
ASOVERDE ONG    (2026-01-15 22:02:40)
INAB-Municipalidad San José La Arada-ADISO-CONAP</t>
      </text>
    </comment>
  </commentList>
  <extLst>
    <ext uri="GoogleSheetsCustomDataVersion2">
      <go:sheetsCustomData xmlns:go="http://customooxmlschemas.google.com/" r:id="rId1" roundtripDataSignature="AMtx7micHj4HpOBScItgJcUplSQAKtKBE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2">
      <text>
        <t xml:space="preserve">======
ID#AAAB3ToE-Sw
Sandra Campos    (2026-04-15 04:36:39)
Se cambio a actividades de reforestación</t>
      </text>
    </comment>
  </commentList>
  <extLst>
    <ext uri="GoogleSheetsCustomDataVersion2">
      <go:sheetsCustomData xmlns:go="http://customooxmlschemas.google.com/" r:id="rId1" roundtripDataSignature="AMtx7mhRJXCPyGdHISpk/I2idIvZZzbh1A=="/>
    </ext>
  </extLst>
</comments>
</file>

<file path=xl/sharedStrings.xml><?xml version="1.0" encoding="utf-8"?>
<sst xmlns="http://schemas.openxmlformats.org/spreadsheetml/2006/main" count="1467" uniqueCount="1159">
  <si>
    <t xml:space="preserve">CORPORACIÓN BIOCOMERCIO SOSTENIBLE </t>
  </si>
  <si>
    <t>RESULTADOS (OUTCOMES)</t>
  </si>
  <si>
    <t>Descripción esperada</t>
  </si>
  <si>
    <t>Indicador</t>
  </si>
  <si>
    <t>Línea base</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</si>
  <si>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</si>
  <si>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</si>
  <si>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</si>
  <si>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</si>
  <si>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t>Total acumulado</t>
  </si>
  <si>
    <t>Meta numérica</t>
  </si>
  <si>
    <r>
      <rPr>
        <rFont val="Arial"/>
        <b/>
        <color rgb="FF000000"/>
        <sz val="11.0"/>
      </rPr>
      <t>Porcentaje de avance</t>
    </r>
    <r>
      <rPr>
        <rFont val="Arial"/>
        <b/>
        <color rgb="FF000000"/>
        <sz val="11.0"/>
      </rPr>
      <t xml:space="preserve"> </t>
    </r>
  </si>
  <si>
    <t>Meta descriptiva</t>
  </si>
  <si>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</si>
  <si>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</si>
  <si>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</si>
  <si>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</si>
  <si>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Promover prácticas productivas sostenibles mediante la agroforestería, fortalecer los servicios ecosistémicos claves para mejorar la capacidad adaptativa y resiliencia productiva de los medios de vida, y minimizar amenazas en áreas de importancia para la conservación.</t>
  </si>
  <si>
    <t># hectáreas enriquecidas en SAF diseñados de forma participativa</t>
  </si>
  <si>
    <t>9 hectáreas enriquecidas con SAF diseñados de forma participativa</t>
  </si>
  <si>
    <t>Hasta el momento se ha realizado:
-- Diagnostico de los SAF
--Georreferenciacón-poligonos de cada unidad productiva
-- Capacitación con los productores en enriquecimiento y manejo de los SAF, manejo agronomomico del cultivo y la importancia del analisis de suelos para una correcta fertilización y Eca para elaboración de una compostera para Corpoteva en el marco del proyecto GEF Pacífico Biocultural</t>
  </si>
  <si>
    <t>Entrega de material vegetal (80 arboles de cacao, 40 varetas para renovación de arboles improductivos, 8 arboles forestales, 12 frutales y 20 arboles maderables para establecer barrera vegetal- implementadas con vainillo especie nativa del lugar.), a la fecha hay 8 hectáreas de SAF enriquecidas de forma participativa, entrega de herramientas de uso agrícola para las labores en sistema productivo, georreferenciación del material vegetal incorporado en las fincas, capacitacion en cosecha de agua; como resultado de la articulación entre Biocomercio y Agrosavia se va a implementar un proyecto de transición agroecológica en dos SAF incorporando abonos verdes, biolex, camas estaticas, se evaluara el suelo: materia orgánica, velocidad de infiltracion, densidad aparente, entre otros (entrega de insumos y herramientas a productores )</t>
  </si>
  <si>
    <t># acciones implementadas para fortalecer servicios ecosistémicos de mantenimiento de la salud del suelo y reciclaje de nutrientes</t>
  </si>
  <si>
    <t>Servicios ecosistémicos identificados en el diagnóstico participativo: materia prima, fertilidad del suelo y reciclaje de nutrientes</t>
  </si>
  <si>
    <t>3 acciones implementadas: aplicación de abono orgánico o compost; podas con reincorporación de biomasa al suelo; establecimiento de barreras vegetales con especies locales</t>
  </si>
  <si>
    <t>Toma de muestra de suelo y envio a laboratorio para su analisis.
Se esta en espera de los resultados de los análisis de suelos para elaborar el plan de fertilización para cada SAF
Eca para elaboración de una compostera para Corpoteva en el marco del proyecto GEF Pacífico Biocultural</t>
  </si>
  <si>
    <r>
      <rPr>
        <rFont val="Arial"/>
        <color theme="1"/>
        <sz val="11.0"/>
      </rPr>
      <t>Plan de fertilizacion de acuerdo a las necesidades de cada sistema productivo, establecimiento de barrera vegetal, podas con reincorporación al suelo. El plan de fertilizacion fue realizado por el profesional especializado en SAF, los resultados de los analisis muestran (desafíos en deficiencia de Calcio y elementos menores) y muy buen porcentaje de materia organica.
Como en la formulación del presupuesto no se contemplo  recursos apra la implementación de planes de fertilización de suelo (elaboración del abono), se ha llegado acuerdo con los productores de replicar en sus fincas lo aprendido en la capacitacion de elaboracion de compostaje donde con material vegetal de la finca y residuos de cosecha puedan realizar una pila de abono para luego aplicar al cultivo, adicionalemnte se esta contemplando mover recursos de otras actividades en el presupuesto para apoyar el tema de los abonos pero desde un esquema de co-responsabilidad  
Con Agrosavia se va a iniciar el proceso de transición agroecologica en dos fincas donde los productores aprenderan a  realizar abonos verdes para incorporarlos al cultivo y ayudar a mejorar las propiedades fisicas, quimicas y biologicas del suelo, con esta practica esperamos cerrar este indicador para el siguiente semestre.</t>
    </r>
    <r>
      <rPr>
        <rFont val="Arial"/>
        <color rgb="FFFF0000"/>
        <sz val="11.0"/>
      </rPr>
      <t xml:space="preserve"> </t>
    </r>
  </si>
  <si>
    <t># estrategias de manejo y conservación para bancos de piangua construidas participativamente</t>
  </si>
  <si>
    <t>1 estrategia de manejo y conservación para bancos de piangua construida participativamente</t>
  </si>
  <si>
    <t xml:space="preserve">Se han delimitado dos bancos de piangua y a finales de enero se tiene planificado realizar el monitoreo de las poblaciones de piangua en cada uno de los bancos de piangua e instalar vallas informativas </t>
  </si>
  <si>
    <t xml:space="preserve">Identificación y selección del tercer banco de piangua, primer monitoreo del estado de la población de piangua. Esto permite validar si la piangua se está conservando en este ecosistema mediante el control de la talla mínima.  La estrategia incorpora descansos voluntarios de la actividad de extracción. 
Vallas listas pero pendientes de instalar y reportar en próximo monitoreo. </t>
  </si>
  <si>
    <t># hectáreas de manglar en proceso de restauración pasiva</t>
  </si>
  <si>
    <t>No están realizando restauración pasiva de manglar</t>
  </si>
  <si>
    <t>hasta 2 hectáreas del manglar en proceso de restauración pasiva</t>
  </si>
  <si>
    <t>Se han delimitado dos áreas para restauración de manglar con una extensión aproximada de 3,5 hectáreas, a fianales de enero se realizara el monitoreo para la toma de datos, altura y DAP</t>
  </si>
  <si>
    <t xml:space="preserve">Primer monitoreo realizado con toma de datos de altura y DAP a los latizales y fustales, primera jornada de recolección de residuos solidos y adecuación del terreno " eliminación de troncos, ramas y orillos" que son amenazas antrópicas para el normal crecimiento de los árboles 
Las siguientes acciones pensadas contemplarían eliminación de factores limitantes (residuos sólidos, tala del manglar y destaponamiento de los canales para que ingrese el flujo de agua). Esto contempla otra jornada de recolección de residuos sólidos y empoderamiento de las comunidades para asegurar que no se ingrese a talar así como adecuación de canales
</t>
  </si>
  <si>
    <t>Mejora en la seguridad alimentaria y nutricional</t>
  </si>
  <si>
    <t># huertos implementados, diseñados participativamente como parte de la estrategia de conectividad del paisaje</t>
  </si>
  <si>
    <t>4 huertos implementados como parte de la estrategia de conectividad del paisaje</t>
  </si>
  <si>
    <t xml:space="preserve">Aún no se implementan los huertos agroalimentarios, sin embargo se han realizado las siguientes actividades: georreferenciación de los lugares donde quedara ubicado cada huerto y se diseñó la ruta de conectividad con los SAF y los esteros en el territorio, se utilizaron los siguientes criterios para definir la rura: ubicación espacial de los productores, ruta natural de los esteros y la unión de los sistemas productivos para el enriquecimiento del paisaje </t>
  </si>
  <si>
    <t xml:space="preserve">Taller en diseño participativo de huertos agroalimentarios orientado a la conectividad del paisaje, rescate de las especies nativas y sobre todo medicinales  y asi fortalecer la seguridad alimentaria en las comunidades, entrega de herramientas e insumos y semillas, hasta la fecha se han implementado dos huertos agroalimentarios con especies nativas condimentarias, medicinales y frutales. Los Proximos pasos son el establecimiento de los 2 proximos huertos.   </t>
  </si>
  <si>
    <t>Fortalecimiento de capacidades técnicas, tradicionales y de gobernanza local para la incidencia política en justicia climática y la construcción de paz territorial con la naturaleza</t>
  </si>
  <si>
    <t># personas capacitadas en prácticas agroecológicas y manejo de clones locales</t>
  </si>
  <si>
    <t>150 productores/as capacitados en buenas prácticas agroecológicas</t>
  </si>
  <si>
    <t>Se han realizado tres capacitaciones en: enriquecimiento y manejo de los SAF, manejo agronomomico del cultivo y la importancia del analisis de suelos para una correcta fertilización y Eca para elaboración de una compostera para Corpoteva en el marco del proyecto GEF Pacífico Biocultural</t>
  </si>
  <si>
    <t xml:space="preserve">Capacitación huertos agroalimentarios y taller participativo sobre cosecha de agua como para del fortalecimiento de sistemas productivos de cacao
</t>
  </si>
  <si>
    <t># Negocios Verdes fortalecidos (registro de marca, adecuaciones para operación, acceso a notificación sanitaria y apalancamiento inicial de piangueras del Consejo Comunitario)</t>
  </si>
  <si>
    <t>1 Negocio Verde fortalecido con mejoramiento de prácticas</t>
  </si>
  <si>
    <t>Se ha avanzado en la identificación de prácticas a fortalecer</t>
  </si>
  <si>
    <t>Se inicio el proceso de registro de marca de la asociación Raices del Manglar con la empresa Lasaia Holistic Brands, encargada de gestión de marca con enfoque holístico y se apoyo la construccion de infraestructura para elevación de tanque de agua que permitira distribuir el agua en la sala de procesos de la organización Raices del Manglar. infraestructura de tanque de agua. 
La participación de los jovenes en todo estos procesos no solo fortalece las capacidades técnicas locales, sino que también promueve la apropiación del territorio y el conocimiento ancestral. Al integrarse activamente, los jóvenes desarrollan habilidades en gestión ambiental, investigación y trabajo colectivo; esto contribuye a dinamizar las organizaciones, incorporando nuevas perspectivas en la toma de decisiones, de esta forma se consolida un relevo organizacional que asegura la continuidad de los procesos en las organizaciones.</t>
  </si>
  <si>
    <t>Documento con lineamientos de manejo del manglar, recurso piangua y SAF de cacao, como insumo para la construcción del plan de manejo ambiental</t>
  </si>
  <si>
    <t>Documento con lineamientos y actas de espacios de socialización</t>
  </si>
  <si>
    <t xml:space="preserve">Primer mesa de trabajo con el consejo comunitario donde se socializaron los avances del proyecto en territorio con el fin de promover la participación comunitaria y consolidar acciones orientadas a la conservación ambiental y al desarrollo sostenible del territorio.
Para los siguientes meses se ha programado generar unos lineamientos técnicos de las acciones que se realizaron al Consejo Comunitario y que sirva de base para los instrumentos de planificación con el fin de que sea un referente para futuras actividades que realizan. </t>
  </si>
  <si>
    <t>PRODUCTOS (OUTPUTS)</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</si>
  <si>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</si>
  <si>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</si>
  <si>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</si>
  <si>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</si>
  <si>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rgb="FF000000"/>
        <sz val="11.0"/>
      </rPr>
      <t>Porcentaje de avance</t>
    </r>
    <r>
      <rPr>
        <rFont val="Arial"/>
        <b/>
        <color rgb="FF000000"/>
        <sz val="11.0"/>
      </rPr>
      <t xml:space="preserve"> </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</si>
  <si>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</si>
  <si>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</si>
  <si>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</si>
  <si>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</si>
  <si>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Enriquecimiento participativo de los SAF, mejora en los servicios ecosistémicos claves y elaboración de mapa base de los bancos de piangua para mejorar la capacidad adaptativa y la resiliencia productiva en los medios de vida</t>
  </si>
  <si>
    <t># acciones implementadas para el enriquecimiento de los SAF</t>
  </si>
  <si>
    <t>0 SAF enriquecidos con enfoque participativo</t>
  </si>
  <si>
    <t>3 acciones de enriquecimiento implementadas (renovación de árboles improductivos, implementación de especies forestales y frutales de uso local y barreras vegetales)</t>
  </si>
  <si>
    <t xml:space="preserve">El material vegetal se tiene estipulado entregarlo el dia viernes 9 de enero para empezar a enriquecer los SAF, ya estan definidas las acciones a implementar en cada sistema productivo </t>
  </si>
  <si>
    <t xml:space="preserve">Se ha implementado las especies forestales ( Vainillo y Guayacan Rosado) y frutales de uso local ( Aguacate y Naranja) y la barrera vegetal en cada sistema productivo </t>
  </si>
  <si>
    <t># bancos de piangua mapeados</t>
  </si>
  <si>
    <t>No hay bancos de piangua mapeados</t>
  </si>
  <si>
    <t>hasta 3 bancos de piangua priorizados para la estrategia de manejo</t>
  </si>
  <si>
    <t xml:space="preserve">Se identificaron y seleccionaron los tres bancos de piangua, dos ubicados en el estero San Luis y el otro ubicado en el estero el Ataud </t>
  </si>
  <si>
    <t>Huertos agroalimentarios implementados con especies locales como complemento a los SAF y a la estrategia de conectividad ecológica del paisaje</t>
  </si>
  <si>
    <t># huertos implementados (ruta agroecológica que una los huertos con los SAF, utilizando SIG)</t>
  </si>
  <si>
    <t xml:space="preserve">Taller en diseño participativo de huertos agroalimentarios orientado a la conectividad del paisaje, rescate de las especies nativas y fortalecer la seguridad alimentaria en las comunidades, entrega de herramientas e insumos y semillas, hasta la fecha se han implementado dos huertos agroalimentarios con especies nativas condimentarías, medicinales y frutales  </t>
  </si>
  <si>
    <t xml:space="preserve">Taller en diseño participativo de huertos agroalimentarios orientado a la conectividad del paisaje, rescate de las especies nativas y fortalecer la seguridad alimentaria en las comunidades
 y taller participativo sobre cosecha de agua como para del fortalecimiento de sistemas productivos de cacao
</t>
  </si>
  <si>
    <t>Mapa base de áreas prioritarias para la restauración del manglar con una evaluación ecológica rápida del estado del ecosistema realizada en campo y hasta dos (2) hectáreas en proceso de restauración pasiva</t>
  </si>
  <si>
    <t># hectáreas del manglar en proceso de restauración pasiva (con mapa base de áreas prioritarias)</t>
  </si>
  <si>
    <t>Una iniciativa de restauración activa en el lugar denominado “Los Enamorados”</t>
  </si>
  <si>
    <t xml:space="preserve">Se tiene la georreferenciación de las áreas seleccionadas, en el transcurso del mes de enero el profesional SIG elabora el mapa base </t>
  </si>
  <si>
    <t xml:space="preserve">Entrega de herramientas (pala, machetes, lima, baldes plásticos, cascos de protección, gafas, cintas para la señalización, decámetro, overoles, aerosol) para las labores de adecuación de terreno, limpieza y recolección de residuos sólidos, se esta a la espera de la entrega de las vayas informativas para señalización de los sitios  </t>
  </si>
  <si>
    <t>Prácticas para la extracción, procesamiento y comercialización de la piangua mejoradas bajo criterios sostenibles en mercados especializados</t>
  </si>
  <si>
    <t># acciones para el mejoramiento de prácticas de extracción, procesamiento y comercialización de la piangua en el Negocio Verde de la Asociación Raíces del Manglar</t>
  </si>
  <si>
    <t>1 Negocio Verde de piangua de la Asociación Raíces del Manglar</t>
  </si>
  <si>
    <t>2 acciones para el mejoramiento de prácticas para la extracción, procesamiento y comercialización de la piangua bajo criterios sostenibles en mercados especializados</t>
  </si>
  <si>
    <t xml:space="preserve">A finales del mes de abril se va a realizar un taller participativo en conjunto con las mujeres piangueras del consejo comunitario para generar el calendario de recoleccion de piangua y practicas para conservar la cadena de frio en el producto para la comercialización, se entrego la dotación de 44 piangumetros como parte de mejorar la práctica de extracción </t>
  </si>
  <si>
    <t>CECROPIA</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</si>
  <si>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</si>
  <si>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</si>
  <si>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</si>
  <si>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</si>
  <si>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rgb="FF000000"/>
        <sz val="11.0"/>
      </rPr>
      <t>Porcentaje de avance</t>
    </r>
    <r>
      <rPr>
        <rFont val="Arial"/>
        <b/>
        <color rgb="FF000000"/>
        <sz val="11.0"/>
      </rPr>
      <t xml:space="preserve"> </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</si>
  <si>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</si>
  <si>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</si>
  <si>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</si>
  <si>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</si>
  <si>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Acciones de restauración integral asistida implementadas en parcelas agrícolas y forestales</t>
  </si>
  <si>
    <t>Número de parcelas de 50x50 m con acciones implementadas</t>
  </si>
  <si>
    <t>Existen acciones de restauración en 50 hectáreas de parcelas forestales y 1 hectárea de parcelas agrícolas, pero sin una visión integral sobre la restauración</t>
  </si>
  <si>
    <t xml:space="preserve">3 parcelas forestales de 50x50 m con acciones de restauración integral implementadas; </t>
  </si>
  <si>
    <t xml:space="preserve">Durante el 2025 (desde sept) se desarrollaron actividades en dos parcelas forestales, con las cuales se establecieron obras de contención de suelos por parte del Gobierno del Estado de Chiapas dentro de su Programa de Restauración de Microcuencas y bajo la implementación de la iniciativa PARES se realizaron acciones de reforestación con pinos y recuperación de suelos con microorganismos de montaña
En el 2026 se dará inició al desarrollo e implementación de un sistema de monitoreo comunitario con un grupo de jóvenes que permita medir el grado de impacto de la implementación de las acciones de restauración.
Se estarán elaborando nuevos productos de bioinsumos en la biofábrica para darle mantenimiento a los sitios intervenidos durante el 2025 y el sitio de implementación (zona de reforestación) que hace falta y se realizará durante el 3er trimestre del 2026
La parcela que falta está en proceso de desarrollar las obras de contención de suelo del gobierno del estado en áreas afectadas por incendios forestales. Esta se va a iniciar en 2026 y se van a aplicar otro tipo de tratamientos para la salud del suelo. </t>
  </si>
  <si>
    <r>
      <rPr>
        <rFont val="Arial"/>
        <color theme="1"/>
        <sz val="11.0"/>
      </rPr>
      <t xml:space="preserve">Durante el tercer trimestre se realizó el monitoreo y evaluación de la sobrevivencia de las plantas de Pinus oocarpa sembradas en las jornadas de reforestación del 2025. Se pudo comprobar que se tuvo una sobrevivencia del 60% de las plantas sembradas. Aquellas que no tuvieron éxito en la sobrevivencia se debieron a distintos factores, como el inicio de las etapas de sequía, factores mecánicos como remoción por parte de animales, entre otros
</t>
    </r>
    <r>
      <rPr>
        <rFont val="Arial"/>
        <color rgb="FFFF9900"/>
        <sz val="11.0"/>
      </rPr>
      <t xml:space="preserve">Se intuye falta de capacidad para hacer buenas siembras en jornadas de reforestación. El desafío fue trabajar con números de personas altos lo cual dificulta el control de la calidad de la buena siembra. 
La sobrevivencia representa 1500 plantas en una zona de bosque de pino bajo aprovechamiento forestal 
La tercera parcela está fuera de la comunidad donde trabajamos (Niños héroes). Todavía estamos llegando al acuerdo para ver en que sitio se implementará.
Las obras de contención ya se hicieron pero estamos sujetos a la reforestación y se tiene avance en el vivero en la germinación de plantas. 
Se está esperando a Julio para poder hacer esta actividad y concluir esta parcela la cual está bajo condiciones de una afectación por incendios. Se va a aplicar un tratamiento distinto a que se aplicó a las parcelas de plagas y degradación
El plan de monitoreo ya está definido y se tiene en borrador. Solo tiene que ajustarse a algunas condiciones hacia la nueva parcela. </t>
    </r>
  </si>
  <si>
    <t>1 parcela agrícola (Corazón del Valle) de 1 hectárea con acciones de restauración integral implementadas.</t>
  </si>
  <si>
    <t xml:space="preserve">En el 2025 se estableció y se inició un proceso de análisis en el manejo de la parcela agroecológica, durante el 2026 se implementarán distintas actividades para el mejoramiento técnico y operativo de la misma. Fue dividida en 13 sitios para implementar diferentes acciones desde las áreas de retención de suelos hasta las áreas donde se hacen obras de contención de suelos pero con los bioinsumos de la Biofábrica Selva Zoque. Ya tuvieron la primera cosecha de hortalizas. Hay cultivos que no funcionaron con los bioinsumos que ya estamos entendiendo por qué. </t>
  </si>
  <si>
    <t xml:space="preserve">Durante el primer trimestre del 2026, se realizó un plan semestral de actividades a realizarse en la parcela agroecológica.
Se establecieron nuevas líneas de obras de contención de suelos, actualmente se cuenta con 350 metros lineales bajo este tipo de obras, en donde se está realizando recuperación de suelos con bioinsumos. Estos espacios estarán disponibles para la siembra de hortalizas
Se realizó la construcción de una biofabrica para elaborar bioinsumos sólidos y liquidos para las parcelas bajo esquemas de restauración integral ecológica </t>
  </si>
  <si>
    <t>Número de productores y actores locales capacitados mediante acompañamiento en las actividades a desarrollar durante un ciclo anual de restauración integral en parcelas forestales y agrícolas .</t>
  </si>
  <si>
    <t xml:space="preserve">Se han implementado acciones de restauración asistida, pero sin los procesos de seguimiento y acompañamiento en las parcelas forestales y agrícolas </t>
  </si>
  <si>
    <t>5 personas dedicadas a los medios de vida agrícola y forestal capacitados en temas de restauración integral de suelos y manejo de espacios productivos con acompañamiento técnico durante un ciclo anual</t>
  </si>
  <si>
    <t>Se realizó una planeación de las jornadas de reforestación para el año 2026. 
Se reactivó el vivero forestal, para la producción de al menos 20 mil plantas de Pinus oocarpa</t>
  </si>
  <si>
    <t>Número de personas capacitadas en restauración integral</t>
  </si>
  <si>
    <t>20 personas (14 hombres y 6 mujeres) capacitadas en temas de restauración integral asistida</t>
  </si>
  <si>
    <t xml:space="preserve">Durante el 2025 se capacitaron a 4 personas en el tema, pero se realizaron diversas actividades con las infacias de la comunidad de Corazón del Valle. Cuando se implementaron las acciones de reforestación era un grupo muy amplio. Se dieron 2 - 3 sesiones de trabajo </t>
  </si>
  <si>
    <t>Actualmente existe un equipo comunitario base de 3 personas (2 mujeres y 1 hombre) que se encuentran como responsables de la atención al vivero forestal</t>
  </si>
  <si>
    <t>Número de participantes menores de 18 años en actividades ejecutadas durante las jornadas de capacitación con enfoque en la restauración integral asistida</t>
  </si>
  <si>
    <t>La participación de niñas, niños y jóvenes en los procesos relacionados con actividades de restauración de parcelas forestales y agrícolas ha sido limitado o nula durante la implementación de proyectos anteriores</t>
  </si>
  <si>
    <t xml:space="preserve">40 personas menores de 18 años participan en jornadas comunitarias enfocadas a implementar acciones de restauración integral asistida en parcelas forestales y agrícolas </t>
  </si>
  <si>
    <t xml:space="preserve">Hemos ido desarrollando las sesiones dentro de la primaria de la comunidad. Queremos empezar con la secundaria para poder trabajar con los jóvenes.  </t>
  </si>
  <si>
    <t>Se han desarrollado actividades con las infancias y juventudes de la comunidad de Corazón del Valle, con el objetivo de sensibilizar e integrar a los procesos de implementación de las SbN a estos sectores de la población</t>
  </si>
  <si>
    <t>Número de mujeres (entre 18 y 30 años) que participaron en el proceso</t>
  </si>
  <si>
    <t>6 mujeres capacitadas en temas de restauración integral asistida</t>
  </si>
  <si>
    <t>Esto es dentro de las 3 parcelas agroecológicas y forestales</t>
  </si>
  <si>
    <t xml:space="preserve">Durante el primer trimestre del 2026 se trabajó con el grupo de mujeres de hortalizas de la comunidad de Corazón del Valle, quienes llegaron a un intercambio de experiencias a la parcela agroecológica y se realizó una serie de capacitaciones sobre el uso de bioinsumos </t>
  </si>
  <si>
    <t>Número de jóvenes (entre 18 y 30 años) que participaron en el proceso</t>
  </si>
  <si>
    <t>14 hombres jóvenes capacitados en temas de restauración integral asistida</t>
  </si>
  <si>
    <t>Se realizó una visita por parte de los alumnos de la secundaria de la comunidad de Corazón del Valle a la parcela agroecológica, en donde se impartió una serie de capacitaciones para el uso de bioinsumos, métodos de siembra y cosecha, entre otros temas. Esto con el objetivo de que realicen su huerto escolar durante el primer semestre del 2026</t>
  </si>
  <si>
    <t>Formación de lideres comunitarios en la implementación y seguimiento de la SbN</t>
  </si>
  <si>
    <t>Número de personas que participaron en los diversos procesos de formación de capacidades</t>
  </si>
  <si>
    <t>3 personas de la microcuenca cuentan con conocimiento general de realizar monitoreos enfocados en la fauna</t>
  </si>
  <si>
    <t>Capacitación de 6 personas (3 hombres y 3 mujeres) en temas de indicadores biofísicos y químicos para que realicen acciones de monitoreo en los sitios con acciones de restauración</t>
  </si>
  <si>
    <t xml:space="preserve">Todavía estamos en la adquisición del equipo. Tienen que ser 1 de cada grupo que se vincula al proyecto pares (agroecológico - vivero - forestal) y estamos viendo incluir a las escuelas y secundarias. 3 equipos comuitarios </t>
  </si>
  <si>
    <r>
      <rPr>
        <rFont val="Arial"/>
        <color theme="1"/>
        <sz val="11.0"/>
      </rPr>
      <t xml:space="preserve">Se realizaron dos sesiones de capacitación con un grupo de monitoreo de la comunidad de Corazón del Valle. Entre los temas abordados está la planeación de las rutas o senderos interpretativos, los sitios de importancia comunitaria y la identificación de indicadores de percepción social, ambiental y climática
</t>
    </r>
    <r>
      <rPr>
        <rFont val="Arial"/>
        <color rgb="FFFF9900"/>
        <sz val="11.0"/>
      </rPr>
      <t>Pendiente la adquisición de equipo solo se han adquirido camara trampa pero no se les ha capacitado. Son tres equipos comunitarios: agroecológico, forestal y sistema comunitario (quieren construir uyn sistema basado en senderos interpretativos)</t>
    </r>
  </si>
  <si>
    <t>4 personas de la microcuenca cuentan con conocimiento general de realizar monitoreos enfocados en la fauna</t>
  </si>
  <si>
    <t>2 eventos de replica realizados por parte de las beneficiarias y beneficiarios del proyecto PARES con grupos de trabajo o escuelas comunitarias</t>
  </si>
  <si>
    <t>Se realizó un evento en el mes de diciembre con un grupo de mujeres dedicadas a la producción de hortalizas. Llegaron a conocer la experiencia de la parcela agroecológica y su manejo anual</t>
  </si>
  <si>
    <t>Número de mujeres participantes</t>
  </si>
  <si>
    <t>CATIE recomienda incluir replicabilidad. Marisela puede apoyarles con la replicabilidad. (para juliio y agosto - intercambio de experiencias para realizar FdF. , despues de un año de resultados de las parecelas)</t>
  </si>
  <si>
    <t>Se tuvo un acercamiento con una especialista en temas de conservación y monitoreo (FONCET), para realizar capacitaciones al grupo de monitoreo comunitario</t>
  </si>
  <si>
    <t>Número de jóvenes menores de 30 años participantes</t>
  </si>
  <si>
    <t>Formación de 4 personas (2 hombres y 2 mujeres) para que sean capacitadoras de las SbN implementadas en la microcuenca</t>
  </si>
  <si>
    <t>Se realizó una actividad enfocada en la identificación y descripción de plantas nativas, sus usos y fines en la microcuenca</t>
  </si>
  <si>
    <t>Intercambios de experiencia y difusión de los resultados de la iniciativa PARES con las comunidades de la microcuenca</t>
  </si>
  <si>
    <t>Número de eventos de comunicación, difusión e intercambios de experiencias realizados</t>
  </si>
  <si>
    <t>2 eventos de difusión de la iniciativa PARES realizados al inicio de la implementación</t>
  </si>
  <si>
    <t xml:space="preserve">Presentación ante actores comunitarios e institucionales de los resultados obtenidos con la Iniciativa PARES; </t>
  </si>
  <si>
    <t>3 eventos de difusión de la iniciativa PARES realizados al inicio de la implementación</t>
  </si>
  <si>
    <r>
      <rPr>
        <rFont val="Arial"/>
        <color theme="1"/>
        <sz val="11.0"/>
      </rPr>
      <t>3 intercambios de experiencias realizados entre las comunidades con acciones de SbN implementadas y las demás comunidades de la microcuenca</t>
    </r>
    <r>
      <rPr>
        <rFont val="Arial"/>
        <color rgb="FFFF0000"/>
        <sz val="11.0"/>
      </rPr>
      <t xml:space="preserve"> </t>
    </r>
  </si>
  <si>
    <t xml:space="preserve">Esto se tiene comprometido con la gente de la Reserva Biósfera de la Sepultura para poder realizar un evento dirigido a mujeres dentro de la microcuenca con enfoque de SbN y fortalecimiento de capacidades de mujeres.
Otro evento de difusión podría ser la forma en que se ha planificado la cuenca (Valorar) o manta de compromisos. </t>
  </si>
  <si>
    <t>Se planifica hacer el evento de presentación de resultados y que sea más institucional (autoridades estatales)</t>
  </si>
  <si>
    <t>4 eventos de difusión de la iniciativa PARES realizados al inicio de la implementación</t>
  </si>
  <si>
    <t xml:space="preserve">Asistencia de 50 personas a los 3 eventos de intercambios de experiencias comunitarias e interinstitucionales </t>
  </si>
  <si>
    <r>
      <rPr>
        <rFont val="Arial"/>
        <color rgb="FFFF9900"/>
        <sz val="11.0"/>
      </rPr>
      <t xml:space="preserve">Se está trabajando en las convocatorias. No se tiene actividad desarrollada pero se hizo difusión con algunas organizaciones. Se tienen planificados en agosto. Se espera invitar a SEMAHN. A través de PARES se movilizó un recursos de un poco más de 1 millos de pesos para la compra de materiales y equipos de lo recinero para que continúen sus actividades de aprovechamiento. Esto está enmarcado en el programa de restauración de microcuencas pero en el marco del enfoque de PARES. Se espera invitar a CONAFOR con quienes se han tenido reuniones para establecer acuerdos para mecanismso de apoyo que llegarán a la región. Se espera invitar al ayuntamiento de Cintalapa quienes han tenido mucha incidencia en el trabajo. A la CONANPcon quienes se ha hecho procesos de articulación así como a la Secretaría de Economía de Chiapas. 
</t>
    </r>
    <r>
      <rPr>
        <rFont val="Arial"/>
        <color rgb="FFFF0000"/>
        <sz val="11.0"/>
      </rPr>
      <t>Comentario: PNUMA le interesa vincularse aunque sea de manera virtual par acompañar la actividad así como invitar a los colegas de la UCAI-SERMARNAT</t>
    </r>
  </si>
  <si>
    <t>Reactivación del vivero forestal e instalación de un área de biofermentación</t>
  </si>
  <si>
    <t>Cantidad de plantas y biopreparados elaborados</t>
  </si>
  <si>
    <t>1 vivero forestal operando a un 20% de su capacidad y no se cuenta con áreas de biofermentación</t>
  </si>
  <si>
    <t xml:space="preserve">Operación de un vivero forestal y producción de al menos 15 mil plantas de Pinus oocarpa; </t>
  </si>
  <si>
    <t xml:space="preserve">Ya se tiene el acuerdo y ahora está con el procedimiento de iniciar. Se tiene un avance del vivero de al menos un 40% en cuanto a la limpieza y la forma en que operará. Ya se tienen las semillas y la proxima semana se inicia la siembra de semillas para poder salir en el mes de agosto para poder hacer las otras áreas que nos faltarían y cumplir la meta de 20.000 plantas de los cuales el 60% se usa dentro del espacio de restauración y un 40% para la venta para otra entrada económica a la empresa resinera. </t>
  </si>
  <si>
    <r>
      <rPr>
        <rFont val="Arial"/>
        <color theme="1"/>
        <sz val="11.0"/>
      </rPr>
      <t xml:space="preserve">Se reactivó el vivero forestal durante el primer trimestre del 2026, actualmente se tienen sembradas más de 20 mil plantas de Pinus oocarpa. 
Se cuenta con un equipo comunitario responsable de la operatividad
Se realizaron 3 tratamientos distintos en sustratos de viveros, para medir la efectividad
Se está realizando un seguimiento de las condiciones de las plantas por parte de un experto 
</t>
    </r>
    <r>
      <rPr>
        <rFont val="Arial"/>
        <color rgb="FFFF0000"/>
        <sz val="11.0"/>
      </rPr>
      <t xml:space="preserve">Comentario: Se recomienda dejar un manual o infografía sobre el tratamietno de los 3 tipos de sus tratos y su efectividad </t>
    </r>
  </si>
  <si>
    <t>2 vivero forestal operando a un 20% de su capacidad y no se cuenta con áreas de biofermentación</t>
  </si>
  <si>
    <t>Instalación y operación de un área de biofermentación produciendo 400 litros de biopreparados</t>
  </si>
  <si>
    <t>Se instaló una biofábrica durante el primer trimestre del 2026 con una medida de 10x8 metros. (Insumos para acciones de restauración, parcelas agrocecologicas, huertos,)
Actualmente se está realizando el abastecimiento de materias primas para realizar las primeras capacitaciones durante el inicio del segundo trimestre del 2026</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</si>
  <si>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</si>
  <si>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</si>
  <si>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</si>
  <si>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</si>
  <si>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rgb="FF000000"/>
        <sz val="11.0"/>
      </rPr>
      <t>Porcentaje de avance</t>
    </r>
    <r>
      <rPr>
        <rFont val="Arial"/>
        <b/>
        <color rgb="FF000000"/>
        <sz val="11.0"/>
      </rPr>
      <t xml:space="preserve"> </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</si>
  <si>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</si>
  <si>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</si>
  <si>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</si>
  <si>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</si>
  <si>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Se han formado y capacitado a los grupos de trabajo comunitarios de agroecología y forestal de la microcuenca</t>
  </si>
  <si>
    <t>Operatividad y plan de trabajo de los grupos comunitarios</t>
  </si>
  <si>
    <t>No existen grupos de trabajos comunitarios reconocidos</t>
  </si>
  <si>
    <t>Formación y formalización de dos grupos de trabajo comunitarios que se encuentren reconocidos por el Consejo Autónomo integrados por al menos 10 personas (5 hombres y 5 mujeres) para desarrollar y dar seguimiento a las SbN</t>
  </si>
  <si>
    <t>Ya los grupos están listos pero falta reconocerlos por parte del Consejo. No se han presentado al Consejo Autónomo. Es un proceso que se va a trabajar en el siguiente trimestre</t>
  </si>
  <si>
    <t xml:space="preserve">Se formó el grupo de trabajo de monitoreo comunitario y forestal durante este trimestre. 
Estos grupos se encuentran en procesos de formación </t>
  </si>
  <si>
    <t>Se realizaron acciones de difusión y sensibilización con infancias de escuelas de nivel básico de la microcuenca</t>
  </si>
  <si>
    <t>Número de eventos y alumnas(os) que escucharon las pláticas realizadas</t>
  </si>
  <si>
    <t>No se han realizado eventos de difusión y/o sensibilización con infancias</t>
  </si>
  <si>
    <t xml:space="preserve">Acciones de sensibilización emprendidas con infancias y juventudes en la microcuenca a través del desarrollo de materiales didácticos </t>
  </si>
  <si>
    <t>Se han realizado tres actividades con la primaria de la comunidad de Corazón del Valle durante el 2025, en temas enfocados en la implementación de las SbN</t>
  </si>
  <si>
    <t>Se realizó actividades con las infancias y juventudes durante este primer trimestre del 2026
- Intercambio de experiencias de la secundaria en la parcela agroecológica
- Cine comunitario
- Concurso de cuentos e ilustraciones</t>
  </si>
  <si>
    <t>1 mural que describa la importancia de las SbN en el territorio</t>
  </si>
  <si>
    <r>
      <rPr>
        <rFont val="Arial"/>
        <color theme="1"/>
        <sz val="11.0"/>
      </rPr>
      <t xml:space="preserve">Se estableció acuerdos con la asamblea ejidal para iniciar el proceso de elaboración del mural
</t>
    </r>
    <r>
      <rPr>
        <rFont val="Arial"/>
        <color rgb="FFFF0000"/>
        <sz val="11.0"/>
      </rPr>
      <t xml:space="preserve">Pendiente confirmar CATIE apoyo que se puede dar al Mural. </t>
    </r>
  </si>
  <si>
    <t>El Consejo Autónomo de la Microcuenca San Miguel – Tolán se vuelve el actor relevante para el seguimiento de los pilotos de las SbN</t>
  </si>
  <si>
    <t>Acuerdos establecidos y reconocidos por parte del Consejo Autónomo para darle seguimiento a las SbN</t>
  </si>
  <si>
    <t>No se han establecido acuerdos o reconocimientos por parte del Consejo Autónomo para darle seguimiento a las SbN</t>
  </si>
  <si>
    <t>1 Acuerdo firmado y reconocido por parte del Consejo Autónomo para darle seguimiento a las SbN implementadas en la microcuenca a través de los grupos de trabajo conformados.</t>
  </si>
  <si>
    <t>Pendiente trabajarlo</t>
  </si>
  <si>
    <t>1 Mecanismo de gobernanza interno del Consejo Autónomo desarrollado, en donde se reconocen a los grupos de trabajo que darán seguimiento a las SbN</t>
  </si>
  <si>
    <t xml:space="preserve">Ya está en proceso de avance. </t>
  </si>
  <si>
    <t>Se inició el proceso de construcción de las rutas de adaptación con el Consejo Autónomo de la Microcuenca</t>
  </si>
  <si>
    <t>ASOVERDE</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</si>
  <si>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</si>
  <si>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</si>
  <si>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</si>
  <si>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</si>
  <si>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t>Porcentaje de avance</t>
  </si>
  <si>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</si>
  <si>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</si>
  <si>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</si>
  <si>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</si>
  <si>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Se contribuyó a la restauración del paisaje forestal en el corredor biológico Volcán de Ipala – Cerro Huexqué – Montaña El Gigante.</t>
  </si>
  <si>
    <t># hectáreas introducidas a procesos de restauración del paisaje en sitios clave</t>
  </si>
  <si>
    <t xml:space="preserve">30 hectáreas en proceso de restauración del paisaje.  </t>
  </si>
  <si>
    <r>
      <rPr>
        <rFont val="Arial"/>
        <color theme="1"/>
        <sz val="9.0"/>
      </rPr>
      <t xml:space="preserve">Se cuenta con 39.83 ha bajo manejo de regenaración natural con pino.  </t>
    </r>
    <r>
      <rPr>
        <rFont val="Arial"/>
        <color rgb="FFFF9900"/>
        <sz val="9.0"/>
      </rPr>
      <t>Se amplio la meta debido a acuerdos insterinstitucionales  35 hectareas en el cerro Huexque. (Posibilidad de extensión de metas de hectareas debido a los acuerdos municipales y la articulación interinsticional.)</t>
    </r>
    <r>
      <rPr>
        <rFont val="Arial"/>
        <color theme="1"/>
        <sz val="9.0"/>
      </rPr>
      <t xml:space="preserve"> </t>
    </r>
  </si>
  <si>
    <t># actores clave vinculados</t>
  </si>
  <si>
    <t>5 actores clave</t>
  </si>
  <si>
    <r>
      <rPr>
        <rFont val="Arial"/>
        <color theme="1"/>
        <sz val="9.0"/>
      </rPr>
      <t xml:space="preserve">Actores involucrados: INAB- CONAP-ADISO-Municipalidad de San José La Arada, MARN </t>
    </r>
    <r>
      <rPr>
        <rFont val="Arial"/>
        <color rgb="FFFF9900"/>
        <sz val="9.0"/>
      </rPr>
      <t xml:space="preserve">(Cambio de Mario diaz corredores biologicos - retomar articulación), nuevas sinergias con CALMECAC Y vinculación de Reserva de Biosfera proyectos de Trifiño.  y un nuevo actor de gobernanza esta el Comité de tierras (Por tenencia de la tierras municipales). Facilitan la delimitación de tierras municipales para establecer los limites reales de las áreas de manejo. y normativas de uso. </t>
    </r>
  </si>
  <si>
    <t># familias que reportan mejoras</t>
  </si>
  <si>
    <t>150 familias que reportan mejoras en sus medios de vida</t>
  </si>
  <si>
    <t xml:space="preserve">11 Grupo de Familias a las que se han incluido en los jornales de practicas silviculturales , y manejo de la restauación forestal e inclusión de jovenes en estas activiades en el bosque, asi mismo se tienen brigadas donde se incluyen mujeres y jovenes, para el manejo del bosque. (Rondas corta fuegos y rebrotes=) Proximos pasos aumentan el numero de familias ya que se incorporaran en los sitios demostrativos </t>
  </si>
  <si>
    <t>Se implementaron modelos demostrativos de alta productividad agroforestal con agricultura regenerativa en sitios estratégicos</t>
  </si>
  <si>
    <t># modelos demostrativos implementados para la restauración del paisaje</t>
  </si>
  <si>
    <t>2 modelos demostrativos implementados</t>
  </si>
  <si>
    <t xml:space="preserve">Se implementan durante el segundo trimestre , la instalación del reservorio de cosecha de agua de lluvia, se cuentan con los planes y la ubicación de los sitios para la implementación de los mismos. Se encuentran en proceso de cotizaciónes para la contratación de la maquinaria para la implementación de los reservorios, se vinculan acciones para la viisdtas de campo con el experto.  </t>
  </si>
  <si>
    <t># familias que reportan oportunidades de empleo y mejora de ingresos</t>
  </si>
  <si>
    <t>20 familias reportan oportunidades de empleo y mejora de ingresos</t>
  </si>
  <si>
    <t>Las familias han realizado labores continuas en: elaboración de rondas corta fuego, limpieza de área, podas de formacion en pino y quercus, delimitacion de área con regeneración natural.</t>
  </si>
  <si>
    <t># procesos formativos para fortalecimiento de capacidades</t>
  </si>
  <si>
    <t>10 procesos formativos con personal técnico, estudiantes y productoras/es</t>
  </si>
  <si>
    <t xml:space="preserve">Curso sobre restauración forestal diseñado en 4 talleres teorico/prático para realizarse en el Cerro Huexqué, se ha implementado en un 50%, participan estudiantes de gestión ambiental del CUNORI, personal de la UGAM, guarda recursos y viverista de la municipalidad de San José La Arada. 
Curso de producción de plantas nativas, implementado en el vivero forestal de la Laguna y Volcán de Ipala, diseñado en 6 talleres teórico/práctico, se ha implementado en un 30% y esta dirigido a 6 guarda recursos del CONAP de La Laguna y Volcan de Ipala.   </t>
  </si>
  <si>
    <t># familias fortalecidas (personas capacitadas)</t>
  </si>
  <si>
    <t>160 personas capacitadas en procesos de restauración del paisaje (al menos 15 % mujeres)</t>
  </si>
  <si>
    <t>Se contó con la participación de 96 personas, de las cuales 58 fueron hombres y 38 mujeres. En cuanto a la distribución por grupos de edad, 71 participantes se encuentran entre los 13 y 30 años, 23 entre los 31 y 60 años, y 2 personas tienen 61 años o más.</t>
  </si>
  <si>
    <t># visitas de campo a los modelos</t>
  </si>
  <si>
    <t>1 visita semanal a cada modelo durante la implementación del piloto</t>
  </si>
  <si>
    <t>Las visitas se han desarrollado con el propósito de dar seguimiento a los trabajos de identificación y delimitación de sitios, preparación del terreno, acompañamiento técnico a los topógrafos durante el levantamiento de información en campo y coordinación con maquinistas para la construcción de reservorios. (Valdria la pena mencionar el numero de visitas que realizan para demostrar el impacto que tienen y dichos avances)</t>
  </si>
  <si>
    <t>Se fortalecieron las capacidades técnicas y la gobernanza con productores/as agrícolas forestales e instituciones locales del corredor biológico Volcán de Ipala – Cerro Huexqué – Montaña El Gigante</t>
  </si>
  <si>
    <t># instituciones involucradas</t>
  </si>
  <si>
    <t>3 instituciones de gobierno central y municipal involucradas (INAB, MAGA, CONAP y municipalidades) Ong (ADISO) y Sector Justicia (PNC, jueces municipales, MP)</t>
  </si>
  <si>
    <t xml:space="preserve">Se coordinan acciones con INAB-MARN-CONAP-MUNICIPALIDAD DE SAN JOSE LA ARADA-ADISO-CUNORI-Plan Trifinio-Comité de tierras de San José La Arada, en el marco de acción de la COAPED. </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</si>
  <si>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</si>
  <si>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</si>
  <si>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</si>
  <si>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</si>
  <si>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</si>
  <si>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</si>
  <si>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</si>
  <si>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</si>
  <si>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Se restauró la cobertura forestal (Volcán de Ipala, Cerro Huexqué, Suyate y El Durazno).</t>
  </si>
  <si>
    <t># hectáreas restauradas</t>
  </si>
  <si>
    <t>30 hectáreas de cobertura forestal restauradas</t>
  </si>
  <si>
    <t>Se inició el proceso de restauración de 2 Ha en Aldea El Durazno, con selección de regeneración natural de Pino y manejo de rebrote de Quercus</t>
  </si>
  <si>
    <t>Se continuó con el proceso de restaruación de 2 ha en Durazno y se iniciaron los trabajos de restauracion de 37,86 ha en el Cerro Huesqué. Se habilitaron senderos y se identificaron las áreas para realizar manejo de rebrote en Quercus en el Huexqué</t>
  </si>
  <si>
    <t>Se construyeron reservorios de agua de lluvia con capacidad para un millón de litros cada uno.</t>
  </si>
  <si>
    <t># reservorios de agua de lluvia con capacidad para 1 millón de litros cada uno</t>
  </si>
  <si>
    <t>2 reservorios de agua de lluvia construidos</t>
  </si>
  <si>
    <t xml:space="preserve">Se identificaron los sitios para implementar los reservorios. Uno en Aldea el Durazno y otro en Ipala. Estamos en el proceso de diseño de los sistemas.
Están valorando duplicar el volúmen de captación (2 millones de litros en cada sitio).
Se usó la herramienta del proyecto de Cosecha de Agua en Nicaragua seleccionando sitios categoría 4 y 5 </t>
  </si>
  <si>
    <t>Se realizó el diseño de los 2 reservorios de agua de lluvia utilizando la metodologia del Keyline.
Se cuenta con 2 juegos de planos del diseño estructural de los reservorios de agua de lluvia</t>
  </si>
  <si>
    <t>Se establecieron sistemas agroforestales diversos con agricultura regenerativa.</t>
  </si>
  <si>
    <t># hectáreas con establecimiento de sistemas agroforestales</t>
  </si>
  <si>
    <t>5,6 ha de sistemas agroforestales establecidas</t>
  </si>
  <si>
    <t xml:space="preserve">Se ha identificado los sitios para el establecimiento de los SAF </t>
  </si>
  <si>
    <t>Se iniciaron con la preparacion de los sitios para el establecimiento de los SAF</t>
  </si>
  <si>
    <t>Hectáreas bajo sistemas agroforestales establecidos, desagregadas por arreglo del SAF</t>
  </si>
  <si>
    <t>2,1 ha de aguacate/marañón</t>
  </si>
  <si>
    <t>Se identificó 1 Ha para SAF con Agucate en Aldea Durazno y 1.1 Ha para SAF con marañón para El Suyate</t>
  </si>
  <si>
    <t>Se han identificado 2 viveros quienes producen las plantas de marañón y aguacate. Las plantas serán entregadas durante el mes de junio</t>
  </si>
  <si>
    <t xml:space="preserve">2 ha de forestal con 2 000 m² de chiltepe; </t>
  </si>
  <si>
    <t>Se identificó 2000 m2 en Suyate, para el establecimiento de chile chiltepe</t>
  </si>
  <si>
    <t>Se estan maquilando 4,000 plantas de chile chiltepe</t>
  </si>
  <si>
    <t>1,5 ha de café con bioinsumos</t>
  </si>
  <si>
    <t>Se identificaron 1.5 Ha de café para la aplicación de bioinsumos en El Durazno</t>
  </si>
  <si>
    <t>Se cuenta con los polígonos de 3 parcelas con café para implementar un plan de fitosanitario y nutricional con bioinsumos</t>
  </si>
  <si>
    <t># familias beneficiadas por los sistemas agroforestales</t>
  </si>
  <si>
    <t>100 familias beneficiadas</t>
  </si>
  <si>
    <t>Esta actividad se planifica para los meses de junio a agosto</t>
  </si>
  <si>
    <t>Se implementó vivero forestal para la producción de plantas nativas.</t>
  </si>
  <si>
    <t># plantas nativas producidas en vivero forestal</t>
  </si>
  <si>
    <t>7 000 plantas nativas producidas en vivero forestal</t>
  </si>
  <si>
    <t xml:space="preserve">Se definió el área donde se establecerá el vivero forestal y fichas técnicas para la implementación hasta el momento para sacar las plantas de vivero y cuando se van a compartir. </t>
  </si>
  <si>
    <t>Actualmente se cuenta con especies de Caoba, Cedro y Aripin</t>
  </si>
  <si>
    <t>Se establecieron sistemas de riego por goteo.</t>
  </si>
  <si>
    <t># sistemas de riego por goteo establecidos</t>
  </si>
  <si>
    <t>2 sistemas de riego por goteo establecidos</t>
  </si>
  <si>
    <t>Se identificaron los 2 sitios (Durazno y Suyate)</t>
  </si>
  <si>
    <t>La Instalacion se realizará para el mes de julio</t>
  </si>
  <si>
    <t>Superficie con sistemas de riego por goteo</t>
  </si>
  <si>
    <t>10 000 m² con sistemas de riego por goteo</t>
  </si>
  <si>
    <t>Actividad programada para el mes de agosto</t>
  </si>
  <si>
    <t>Se capacitó en los modelos demostrativos de alta productividad agroforestal con agricultura regenerativa (productores comunitarios, estudiantes, personal técnico de instituciones gubernamentales y no gubernamentales).</t>
  </si>
  <si>
    <t># personas capacitadas en los modelos demostrativos</t>
  </si>
  <si>
    <t>10 grupos de personas capacitadas, con al menos 15 % de mujeres y 20 % de jóvenes</t>
  </si>
  <si>
    <t xml:space="preserve">Actividades no programadas para este período de informe </t>
  </si>
  <si>
    <t>Se promovió el cumplimiento de normativa forestal y agrícola apoyando al INAB/municipalidades/MAGA a promover legalidad en consumos forestales familiares, quemas agrícolas y uso de agua de riego con grupos de productores/as agrícolas y forestales dentro del corredor biológico.</t>
  </si>
  <si>
    <t># personas capacitadas en normativa forestal y agrícola</t>
  </si>
  <si>
    <t>60 personas de tres grupos comunitarios, 20 % mujeres, capacitadas en normativas forestales y agrícolas</t>
  </si>
  <si>
    <t>Actividad programada para el segundo y tercer trimestre del año 2026</t>
  </si>
  <si>
    <t># comunidades capacitadas en normativa forestal y agrícola</t>
  </si>
  <si>
    <t>3 comunidades con al menos un grupo capacitado</t>
  </si>
  <si>
    <t># instituciones que participan en la divulgación de la normativa forestal y agrícola</t>
  </si>
  <si>
    <t>3 instituciones (INAB, MAGA y municipalidades) involucradas</t>
  </si>
  <si>
    <t># operadores de justicia local sensibilizados en la normativa forestal y agrícola</t>
  </si>
  <si>
    <t>2 eventos de sensibilización y capacitación con operadores de justicia (jueces, Ministerio Público, Defensoría Pública Penal, PNC)</t>
  </si>
  <si>
    <t>Actividad programada para el segundo  trimestre del año 2026</t>
  </si>
  <si>
    <t>FONDO DE CONSERVACIÓN EL TRIUNFO - FONCET</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</si>
  <si>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</si>
  <si>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</si>
  <si>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</si>
  <si>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</si>
  <si>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t>Porcentaje de Avance</t>
  </si>
  <si>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</si>
  <si>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</si>
  <si>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</si>
  <si>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</si>
  <si>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Dos microcuencas se encuentran en proceso de restauración de los servicios ecosistémicos</t>
  </si>
  <si>
    <t>Número de hectáreas en proceso de restauración</t>
  </si>
  <si>
    <t>0 hectáreas intervenidas</t>
  </si>
  <si>
    <t>208 hectáreas intervenidas</t>
  </si>
  <si>
    <t xml:space="preserve">Recorridos de sitios propuestos para restaurar: La Paz, Nicolas Bravo, Las Brisas, Las cruces, Punta Flor. Asistencia a la teprimera sesion extraordinaria del Consejo Estatal de Microcuencas de la Nueva ERA.
Parte media alta - media y baja de la cuenca con el fin de no duplicar acciones con el Programa Nueva ERA 
</t>
  </si>
  <si>
    <t xml:space="preserve">Se está realizando el proceso de manera articulada con las instancias del sector público. SE busca articular con el Programa Nueva Era con el fin de complementar y reducir duplicidades. </t>
  </si>
  <si>
    <t>Una plataforma de participación para el manejo integrado del fuego (MIF) es establecida en el territorio</t>
  </si>
  <si>
    <t>Número de comunidades se integran en una plataforma de participación MIF</t>
  </si>
  <si>
    <t>0 comunidades integradas</t>
  </si>
  <si>
    <t>8 comunidades integradas</t>
  </si>
  <si>
    <t xml:space="preserve">8 comunidades concertadas en pro de carta compromiso. Se ha hecho proceso de validación con el consultor. </t>
  </si>
  <si>
    <t xml:space="preserve">Se tiene una plataforma de participación con 7 comunidades participantes. pero todavía es incipiente y requiere ser fortalecida para asegurar su sostenibilidad </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</si>
  <si>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</si>
  <si>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</si>
  <si>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</si>
  <si>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</si>
  <si>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t>Meta Descriptiva</t>
  </si>
  <si>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</si>
  <si>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</si>
  <si>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</si>
  <si>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</si>
  <si>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Del catálogo de SbN se seleccionaron acciones para la restauración de microcuencas</t>
  </si>
  <si>
    <t>Número de viveros comunitarios habilitados</t>
  </si>
  <si>
    <t>0 viveros comunitarios habilitados</t>
  </si>
  <si>
    <t>3 viveros comunitarios habilitados</t>
  </si>
  <si>
    <t xml:space="preserve">Ya se identificaron los sitios propuestos para la instalación o mejora de los viveros. Las comunidades son: La Paz, Las Cruces y Punta Flor
Se tienen ya colectadas semillas para los viveros. Serán 3 especies con doble propósito ecológico y productivo, unas especies para restauración en las riveras y el mangle en el vivero de Punta Flor. </t>
  </si>
  <si>
    <t xml:space="preserve">Se habilitó el vivero de Mangle en Punta Flor, y dos viveros de plantas forestales y productivas en La Paz y Tres Cruces. 
En Tres Cruces ya se inició la producción de guash, madrecacao, cuaulote. A partir de esta semana se inicia la producción de matarratón, cuajilote. 
Por temas de proveedores, se atrasó la preparación de sustrato en La Paz. Se inicia la producción de plantas esta semana. 
Queda pendiente la instalación de un tinaco para la provisión de agua en Punta Flor. La colecta de propálugo de mangle rojo y botoncillo inicia a finales de abril y mayo. </t>
  </si>
  <si>
    <t>Número de ha con RNA establecida</t>
  </si>
  <si>
    <t>0 ha con RNA establecida</t>
  </si>
  <si>
    <t>200 ha con RNA establecida</t>
  </si>
  <si>
    <t xml:space="preserve">Se cuenta con los primeros recorridos en el Rancho San Martín, La Paz y Las Brisas. Están en proceso de firma de representantes de grupo o asambleas segun el calendario de reuniones de ellos. </t>
  </si>
  <si>
    <t xml:space="preserve">Se identificaron los sitios con presencia de árboles juveniles y terrazas individuales. Se eliminaron algunas ramas muertas para poder favorecer el renuevo de árboles como pino y nance.
Se está ligando la actividad a la habilitación de brechas cortafuego.  
</t>
  </si>
  <si>
    <t>Número de ha con enriquecimiento forestal de uso productivo o de subsistencia intervenidas</t>
  </si>
  <si>
    <t>0 ha con enriquecimiento forestal de uso productivo o de subsistencia intervenidas</t>
  </si>
  <si>
    <t>8 ha con enriquecimiento forestal de uso productivo o de subsistencia intervenidas</t>
  </si>
  <si>
    <t xml:space="preserve">Se saben que localidades pero pendiente definir los predios que recibirán </t>
  </si>
  <si>
    <t>Por iniciar en julio</t>
  </si>
  <si>
    <t>Número de presas filtrantes implementadas</t>
  </si>
  <si>
    <t>0 número de presas filtrantes construidas</t>
  </si>
  <si>
    <t>12 número de presas filtrantes construidas</t>
  </si>
  <si>
    <t xml:space="preserve">Se está validando que no sean los mismos lugares que están recibiendo acciones del program de restauración de la Nueva ERA. Para no hacer un doble reportaje. </t>
  </si>
  <si>
    <t xml:space="preserve">Se eligieron sitios vulnerables bajo los cirterios de grado de degradación del sitio, pendiente pronunciada y disponibilidad de material. 
Se realizaron con piedra acomodada, disponible en los mismos predios o en zonas aledañas. 
Cada presa tiene dimensiones de 6m de largo x 1 m de ancho y 60 cm de altura. </t>
  </si>
  <si>
    <t>Del catálogo de SbN se seleccionaron acciones para el manejo integrado del fuego</t>
  </si>
  <si>
    <t>Número de comunidades con comité de protección civil formado y sensibilizado a temas de MIF</t>
  </si>
  <si>
    <t>1 comunidades con comité de protección civil formado y sensibilizado a temas de MIF</t>
  </si>
  <si>
    <t>8 comunidades con comité de protección civil formado y sensibilizado a temas de MIF</t>
  </si>
  <si>
    <t>Se ha tenido reuniones con protección civil a nivel municipal y con la CONANP porque son los primeros que responden realmente a incendios en el territorio. 
Hay una confusión respecto a las competencias legales y atribuciones por cada una de las organizaciones vinculadas al manejo del fuego. 
Se requiere "terminar de formar los comités".</t>
  </si>
  <si>
    <t xml:space="preserve">Ya se llevaron las primeras capacitaciones de la mano de CONAFOR y CONANP. 
Asimismo se procedió a la entrega de equipo y la formación de un comité intercomunitario para el manejo del fuego, con los representantes de cada brigada. 
En el proceso una localidad se dio de baja y será sustituida por otra, la cuál ya participó en las primeras capacitaciones (Villa del Mar). </t>
  </si>
  <si>
    <t>Número de brigadas comunitarias para el combate de incendios equipadas</t>
  </si>
  <si>
    <t>0 brigada comunitaria para el combate de incendios equipada</t>
  </si>
  <si>
    <t>1 brigada comunitaria para el combate de incendios equipada</t>
  </si>
  <si>
    <t xml:space="preserve">Se equipó a la brigada de Nicolás Bravo con equipo de protección personal especializado en el combate de incendios. </t>
  </si>
  <si>
    <t>Número de km de brecha cortafuegos habilitados</t>
  </si>
  <si>
    <t>0 km de brecha cortafuegos habilitados</t>
  </si>
  <si>
    <t>8 km de brecha cortafuegos habilitados</t>
  </si>
  <si>
    <t>Los comités de protección civil tienen el compromio de hacerlo pero no tienen un comité para hacer las brechas cortafuego</t>
  </si>
  <si>
    <t xml:space="preserve">Al inicio del año, se consideraba abrir las brechas cortafuego para proteger la reserva. Sin embargo, después de las capacitaciones se hará en cada localidad. Tras las primeras lluvias se hará el mantenimiento de las brechas que protegen las áreas verdes de los ejidos y comunidades.  </t>
  </si>
  <si>
    <t>Los participantes en el proyecto incrementan sus conocimientos y capacidades para liderar procesos de restauración y MIF</t>
  </si>
  <si>
    <t>80 % de los participantes incrementan sus conocimientos</t>
  </si>
  <si>
    <t>0% de los participantes fortalecidos</t>
  </si>
  <si>
    <t>80% de los participantes fortalecidos</t>
  </si>
  <si>
    <t xml:space="preserve">Estamos esperando los resultados de la capacitación. Ésta fue aplicada directamente por CONAFOR. </t>
  </si>
  <si>
    <t>Las instituciones participantes en el proyecto movilizan recurso propio para la obtención de resultados compartidos.</t>
  </si>
  <si>
    <t>$3,000,000 de pesos movilizados para la implementación de acciones de restauración y MIF</t>
  </si>
  <si>
    <t>$1,400,000 de pesos movilizados para la implementación de acciones</t>
  </si>
  <si>
    <t>Se han hecho gestiones con SEMAHN. En especial con Progrma Nueva ERA para conocer donde están buscando implementar acciones en 2026</t>
  </si>
  <si>
    <t>ADEL</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</si>
  <si>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</si>
  <si>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</si>
  <si>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</si>
  <si>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</si>
  <si>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</si>
  <si>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</si>
  <si>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</si>
  <si>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</si>
  <si>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Se ha fortalecido las competencias de las personas productoras en técnicas agrícolas sostenibles</t>
  </si>
  <si>
    <t># familias que mejoran sus conocimientos sobre técnicas agrícolas sostenibles</t>
  </si>
  <si>
    <t>0 (las personas productoras desconocen técnicas agrícolas sostenibles)</t>
  </si>
  <si>
    <t>160 familias expresan que han fortalecido sus competencias (medido mediante encuesta/autoevaluación)</t>
  </si>
  <si>
    <t xml:space="preserve">Al haberlo hecho en dos fases (primero socializar y no iniciar con las capacitaciones), el proceso de socialización funcionó para despertar el interés en las personas y hubo más personas en las convocatorias. 
Esta es la capacitación de la parte teórica. Ahora en los siguientes meses vienen la parte práctica con las otras SbN (Manejo Regenerativo del suelo y abonos orgánicos (bocashi)
Se trabaja con las mismas familias aunque se explicó que habían otras personas que no pudieron participar en los talleres 
Se trabaja con una parcela demostrativa para que la comunidad vea resultados y se hace a nivel de familia pero tambien a nivel comunal. </t>
  </si>
  <si>
    <t xml:space="preserve">Se ha dado seguimiento a los productores a traves de taller practico en la elaboracion de abonos organicos </t>
  </si>
  <si>
    <t>Se fortalece la resiliencia agrícola: las comunidades muestran mayor capacidad para afrontar cambios climáticos y se incrementa la diversidad de semillas rescatadas</t>
  </si>
  <si>
    <t># personas líderes con competencias para el rescate de semilla criolla</t>
  </si>
  <si>
    <t>No se cuenta con conocimiento en técnicas de rescate de semilla criolla</t>
  </si>
  <si>
    <t>12 personas líderes cuentan con competencias para establecer banco de semilla criolla</t>
  </si>
  <si>
    <t xml:space="preserve">Estos líderes están dentro de las 225 familias. Las capacitaciones de la línea anterior nos permitió identificar a las personas para aprender sobre rescate de semilla criolla. 
Fue un Taller en dos vías, venía el conocimiento de los productores que ya tenian experiencia con semilla criolla y por otro lado la parte técnica de ADEL. Se dio el intercambio de semillas y mazorcas y esto es parte del registro que se hará de las semillas.
Antes de esto se fue a visitar CENTA donde se nos dieron lineamientos sobre el proceder de un banco de semillas. Y en los talleres ya se guardaron en unos recipientes y guardadas. Lo que continúa es como establecer el banco de semillas con apoyo del CENTA. 
Ahora vamos a hacer el diagnóstico y verificar si solo una persona o varias guardan semillas. Para el registro necesitamos ver en campo la información de cada bote de registro de las semillas. 
Ahora cada líder capacitado va a buscar personas para poder hablar del rescate de semillas criollas mientras se hacen las capacitaciones de los abonos orgánicos. </t>
  </si>
  <si>
    <t xml:space="preserve">Se ha dado seguimiento a los productores con la asistencia tecnica sobre rescate de la semilla criolla, se realizo visitas a aproductores para elaborar el diagnostico. </t>
  </si>
  <si>
    <t># bancos de semilla criolla establecidos</t>
  </si>
  <si>
    <t>1 banco de semilla criolla establecido</t>
  </si>
  <si>
    <r>
      <rPr>
        <rFont val="Arial"/>
        <color theme="1"/>
        <sz val="8.0"/>
      </rPr>
      <t xml:space="preserve">Sería en el mismo lugar donde estará el vivero. En Asociación de Regantes Nueva España (ARNE)
Recomendación: Hablar con CECROPIA sobre su experiencia en el tema de rescate de semilla criolla. Ellos tienen una experiencia con maiz criollo. 
El gobierno está montando varios bancos de semilla pero para La Unión no. En CENTA les explicaron los detalles de las instalaciones y se seguirán con estos lineamientos (temperatura, logística de recepción e, registros). Es un banco mixto de semilla criolla (BMSC). 
Se requiere un manual para el manejo de las semillas. 
Aquel que aporte su semilla se va a convertir en un socio. Quien solamente pida semillas debe devolver posterior al uso una cantidad determinada de las semillas. 
</t>
    </r>
    <r>
      <rPr>
        <rFont val="Arial"/>
        <color theme="1"/>
        <sz val="8.0"/>
      </rPr>
      <t xml:space="preserve">
</t>
    </r>
    <r>
      <rPr>
        <rFont val="Arial"/>
        <b/>
        <color theme="1"/>
        <sz val="8.0"/>
      </rPr>
      <t xml:space="preserve">Recomendación de CATIE: </t>
    </r>
    <r>
      <rPr>
        <rFont val="Arial"/>
        <color theme="1"/>
        <sz val="8.0"/>
      </rPr>
      <t>Documentar manual de banco de semillas y formatos de registros</t>
    </r>
  </si>
  <si>
    <t xml:space="preserve">Al finalizar la asistencia tecnica en Rescate de La Semilla Criolla, se contara con los manuales respectivos </t>
  </si>
  <si>
    <t>Se ha mejorado la productividad agrícola (mayor rendimiento y salud de cultivos) a través de prácticas regenerativas, promoviendo un ecosistema agrícola más resiliente y sostenible</t>
  </si>
  <si>
    <t># Mz que mejoran la estructura y fertilidad del suelo</t>
  </si>
  <si>
    <t>Suelos degradados por erosión y contaminados con productos químicos</t>
  </si>
  <si>
    <t xml:space="preserve">60 Mz mejoradas productores utilizando abono organico para los cultivos </t>
  </si>
  <si>
    <t xml:space="preserve">Se espera usar los abonos orgánicos aca. Indican que se realizará en zonas de recarga hídrica. Hay plantas que se van a comprar (no solo provienen del vivero) porque se requieren árboles endémicos. También se van a colocar frutales. Están tratando de trabajar con el rescate de la biodiversidad de estos árboles.  Catie ofrece apoyo en el diseño del SAF a través de Javier Mejía
Estas 60 MZ se dividen en SAF y Áreas de Reforestación 
CATIE recomienda: tener los diseños previstos, si va a ser con todos los estratos para que sea considerado como un SAF de adaptación así como el tipo de especies. Ver que sean especies que mantengan la humedad, mantengan la infiltración y no sean de uso maderable para evitar tala. 
Recomendación CATIE: Estratificar. </t>
  </si>
  <si>
    <t xml:space="preserve">Actualmente estan cultivando 67 personas que cuentan con sistemas de riego en pequeñas parcelas, estos estan utilizando el abono organico que se elaboro y estan sembrando variedad de semillas que se les ha entregado </t>
  </si>
  <si>
    <t>Comunidades con conocimiento en elaboración de insumos orgánicos mejoran el suelo y sus sistemas de producción</t>
  </si>
  <si>
    <t># familias que elaboran y aplican insumos orgánicos en sus cultivos</t>
  </si>
  <si>
    <t>Al menos 8 familias cuentan con conocimiento y aplican insumos orgánicos en sus cultivos</t>
  </si>
  <si>
    <t>160 familias elaboran y aplican insumos orgánicos en sus cultivos</t>
  </si>
  <si>
    <r>
      <rPr>
        <rFont val="Arial"/>
        <color theme="1"/>
        <sz val="8.0"/>
      </rPr>
      <t xml:space="preserve">Son las mismas familias de la línea 1. Ya tienen capacitaciones, se les está entregando todos los insumos y empiezan la siguiente semana la elaboración en todos los lugares. Ya algunas familias tienen experiencias.
Ellos han estado recolectando microorganismos de montaña
Tienen una receta estandarizada con base en un manual que tienen para la producción de 75-80 quintales
</t>
    </r>
    <r>
      <rPr>
        <rFont val="Arial"/>
        <b/>
        <color theme="1"/>
        <sz val="8.0"/>
      </rPr>
      <t>CATIE recomienda:</t>
    </r>
    <r>
      <rPr>
        <rFont val="Arial"/>
        <color theme="1"/>
        <sz val="8.0"/>
      </rPr>
      <t xml:space="preserve"> generar el recetario para difundir y socializar con las comunidades para que les quede. Podría ser una infografía o manual diagramado y plastificado. 
Además recomiendan compilar todas las fichas de malla curricular que se  usaron en cada capacitación. </t>
    </r>
    <r>
      <rPr>
        <rFont val="Arial"/>
        <b/>
        <color theme="1"/>
        <sz val="8.0"/>
      </rPr>
      <t xml:space="preserve">Ideal que compartan el material con CATIE. 
</t>
    </r>
  </si>
  <si>
    <t xml:space="preserve">Los 167, productores recibieron la teoria y la practica en elaboracion de abono organicos, el abono elaborado se esta utilizando en la diversificación productiva y cultivo de sandia  </t>
  </si>
  <si>
    <t>Con más variedad de cultivos se mejora la salud del suelo, se reducen plagas y aumenta la resiliencia frente a eventos climáticos adversos; el sistema agrícola es más resistente a sequías, plagas o enfermedades</t>
  </si>
  <si>
    <t># familias que diversifican su producción</t>
  </si>
  <si>
    <t>Al menos 8 familias realizan cultivos en asocio o rotación de cultivos</t>
  </si>
  <si>
    <t>160 familias implementan diversificación en su sistema productivo</t>
  </si>
  <si>
    <t xml:space="preserve">Se va a enseñar a hacer los plantineros.  
Esto no se ha trabajado hasta el momento. Todavía se está con qué es lo que se va a diversificar y en los diferentes lugares. Ya se tiene estructurado. 
Estos son huertos familiares y una parcela demostrativa comunitaria. </t>
  </si>
  <si>
    <t>Mejora la floración y reproducción de especies nativas, aumenta la biodiversidad, mejora la calidad del suelo y del ecosistema y se contribuye a la recuperación de hábitats naturales y zonas de recarga hídrica</t>
  </si>
  <si>
    <t># Mz que mejoran la calidad del suelo y del ecosistema</t>
  </si>
  <si>
    <t>Zona baja de los distritos de Intipucá, Conchagua, San Alejo y La Unión deforestada por amenazas climáticas y no climáticas</t>
  </si>
  <si>
    <t>60 Mz mejoran la calidad del suelo del ecosistema y las zonas de recarga hídrica</t>
  </si>
  <si>
    <r>
      <rPr>
        <rFont val="Arial"/>
        <b/>
        <color rgb="FF000000"/>
        <sz val="8.0"/>
      </rPr>
      <t xml:space="preserve">Se recomienda mejorar este indicador o si se tiene que cambiar... Ver si es por erosión también?
</t>
    </r>
    <r>
      <rPr>
        <rFont val="Arial"/>
        <b/>
        <color rgb="FF000000"/>
        <sz val="8.0"/>
      </rPr>
      <t xml:space="preserve">Recomendación CATIE: </t>
    </r>
    <r>
      <rPr>
        <rFont val="Arial"/>
        <color rgb="FF000000"/>
        <sz val="8.0"/>
      </rPr>
      <t xml:space="preserve">Aca los indicadores que podríamos hacer valer son las especies que permiten tener mayor retención de suelo. Para ello hay que identificar las especies que se van a usar y a esto dar la valoracipon
Que implementan en la zona alta a diferencia de otros estratos de la cuenca. Ver si van a incorporar especies nodrizas o cuales son las incorporaciones para calidad del suelo, si van a hacer obras de conservación?
Se pueden hacer zanjas de infiltración, curvas de nivel, limpiezas antes de lluvia para que infiltre el agua y no se erosione la cuenca. si hay degradación por pastoreo o no... Necesitamos ver el diagnóstico de la área paera ver la causa de degradación para ver la mejora de la calidad del suelo. </t>
    </r>
  </si>
  <si>
    <t>Se realizara Restauración Forestal.</t>
  </si>
  <si>
    <t>Establecimiento de vivero forestal comunitario</t>
  </si>
  <si>
    <t># viveros establecidos</t>
  </si>
  <si>
    <t>1 vivero establecido que facilite la implementación de procesos de reforestación</t>
  </si>
  <si>
    <r>
      <rPr>
        <rFont val="Arial"/>
        <color rgb="FF000000"/>
        <sz val="8.0"/>
      </rPr>
      <t xml:space="preserve">Ya se coordinó con ARNE por las condiciones que ellos tienen y el acceso y la parte geográfica donde ellos están ubicados. Ya tienen la idea de cómo se podría generar el vivero.
</t>
    </r>
    <r>
      <rPr>
        <rFont val="Arial"/>
        <b/>
        <color rgb="FF000000"/>
        <sz val="8.0"/>
      </rPr>
      <t xml:space="preserve">Se recomienda valorar el % de avance y ajustarlo. </t>
    </r>
    <r>
      <rPr>
        <rFont val="Arial"/>
        <color rgb="FF000000"/>
        <sz val="8.0"/>
      </rPr>
      <t xml:space="preserve">  
</t>
    </r>
    <r>
      <rPr>
        <rFont val="Arial"/>
        <b/>
        <color rgb="FF000000"/>
        <sz val="8.0"/>
      </rPr>
      <t xml:space="preserve">Recomendación CATIE: </t>
    </r>
    <r>
      <rPr>
        <rFont val="Arial"/>
        <color rgb="FF000000"/>
        <sz val="8.0"/>
      </rPr>
      <t xml:space="preserve">Se recomienda valorar si esto realmente puede o no ir de la mano con el establecimiento de los SAF. Valorar si este viverlo sería para escalabilidad pero los SAF se generen con plantas compradas...  
Se puede hacer un intercambio de experiencias con otras organizaciones que han generado los viveros y el plan de vivero. </t>
    </r>
  </si>
  <si>
    <t xml:space="preserve">Los SAF, se cambio por restauracion forestal </t>
  </si>
  <si>
    <t>Organizaciones de la sociedad civil mejoran la administración y gestión del recurso hídrico</t>
  </si>
  <si>
    <t># organizaciones de la sociedad civil fortalecidas en gobernanza y gestión del recurso hídrico</t>
  </si>
  <si>
    <t>Las organizaciones no están capacitadas en temas de recurso hídrico</t>
  </si>
  <si>
    <t>6 organizaciones fortalecidas en temas de gobernanza y gestión del recurso hídrico</t>
  </si>
  <si>
    <r>
      <rPr>
        <rFont val="Arial"/>
        <color rgb="FF000000"/>
        <sz val="8.0"/>
      </rPr>
      <t xml:space="preserve">Esta está dirigida a Juntas de Agua y otras organizaciones
No se ha trabajdo directamente con las Juntas de Agua sino que hay participado en otras capacitaciones. 
</t>
    </r>
    <r>
      <rPr>
        <rFont val="Arial"/>
        <b/>
        <color rgb="FF000000"/>
        <sz val="8.0"/>
      </rPr>
      <t xml:space="preserve">Se recomienda valorar el % de avance y ajustarlo.   </t>
    </r>
  </si>
  <si>
    <t>Se han capacitado a 9  organizacioes en temas de Gobernanza, Organización y Asociatividad; De las 9 organizaciones, 2 son juntas de agua</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</si>
  <si>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</si>
  <si>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</si>
  <si>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</si>
  <si>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</si>
  <si>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</si>
  <si>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</si>
  <si>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</si>
  <si>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</si>
  <si>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Capacitación en técnicas agrícolas sostenibles</t>
  </si>
  <si>
    <t># familias capacitadas en técnicas agrícolas sostenibles</t>
  </si>
  <si>
    <t>12 talleres desarrollados en técnicas agrícolas sostenibles (con participación de las 160 familias meta)</t>
  </si>
  <si>
    <t xml:space="preserve">Se ha seguimiento a los productores con otras actividades, como la elaboración de abono organicos </t>
  </si>
  <si>
    <t>Proceso de rescate de semilla criolla</t>
  </si>
  <si>
    <t># líderes capacitados en proceso de rescate de semilla criolla</t>
  </si>
  <si>
    <t>12 líderes capacitados en técnicas de rescate de semilla criolla</t>
  </si>
  <si>
    <t>Se ha dado seguimiento con la AT, en rescate de la semilla criolla</t>
  </si>
  <si>
    <t># parcelas en producción de semilla criolla</t>
  </si>
  <si>
    <t>1 parcela establecida en producción de semilla criolla</t>
  </si>
  <si>
    <t xml:space="preserve">Ya se tiene el lugar donde se hará y la persona que tendrán cuidándola y a cargo. </t>
  </si>
  <si>
    <t>Ya se cuenta con las parcelas listas para sembrar</t>
  </si>
  <si>
    <t># bancos de semillas establecidos</t>
  </si>
  <si>
    <t>Manejo regenerativo del suelo</t>
  </si>
  <si>
    <t># parcelas implementadas con prácticas regenerativas</t>
  </si>
  <si>
    <t>160 parcelas intervenidas con prácticas regenerativas de suelo</t>
  </si>
  <si>
    <t>67, productores estan utilizando abono organico en el cultivo de hortalizas</t>
  </si>
  <si>
    <t>Establecimiento de escuelas de campo para elaboración de abono orgánico</t>
  </si>
  <si>
    <t xml:space="preserve"># de quintales de abono organico elaborado </t>
  </si>
  <si>
    <t>900 qq, elaborados de abono organico utilizando materias primas donados el proyecto y otras materias primas que recolectaron en conjunto con la comunidad</t>
  </si>
  <si>
    <t xml:space="preserve">Recomendación: Modificar este indicador a  No. de Quintales producidos de abono orgánico. </t>
  </si>
  <si>
    <t xml:space="preserve">El indicado se cambio a quintales </t>
  </si>
  <si>
    <t>Fomento de la diversificación productiva</t>
  </si>
  <si>
    <t># familias que diversifican su producción agrícola</t>
  </si>
  <si>
    <t>160 familias diversifican su producción agrícola</t>
  </si>
  <si>
    <t xml:space="preserve">45, productores estan diversificando la producción y realizando practicas regenerativas </t>
  </si>
  <si>
    <t xml:space="preserve">Implementación de procesos de reforestacion </t>
  </si>
  <si>
    <t># manzanas (Mz) Restauración forestal en zonas de recarga hídrica y áreas vulnerables</t>
  </si>
  <si>
    <t>60 Mz con Restauración forestal en zonas de recarga hídrica y áreas vulnerables</t>
  </si>
  <si>
    <t xml:space="preserve">Dividir lo de SAF con lo de reforestación por zonas de recarga hídrica. 
Recomendar avanzar mas rapido con lo de SAF paa que les de tiempo. </t>
  </si>
  <si>
    <t xml:space="preserve">Solamente se realizara Restauración Forestal, estas actividades se realizaran cuando inicie el invierno </t>
  </si>
  <si>
    <t>Establecimiento de vivero para restauración ecológica</t>
  </si>
  <si>
    <t>6 000 plantas producidas en vivero y entregadas a personas beneficiarias</t>
  </si>
  <si>
    <t xml:space="preserve">No se ha establecido el vivero todavía por lo que no hay avance. </t>
  </si>
  <si>
    <t>Se cuenta con el area lista para establecer el vivero</t>
  </si>
  <si>
    <t>Implementación de Restauración forestal en zonas de recarga hídrica y áreas vulnerables</t>
  </si>
  <si>
    <t># líderes capacitados en Restauración forestal en zonas de recarga hídrica y áreas vulnerables</t>
  </si>
  <si>
    <t>30 líderes capacitados en Restauración forestal en zonas de recarga hídrica y áreas vulnerables</t>
  </si>
  <si>
    <t xml:space="preserve">Capacitación pendientes en SAF. La quieren vincular con las capañas de reforestación. </t>
  </si>
  <si>
    <t>Se realizara la capacitacion con temas de Restauración forestal y agronegocios, no hay avance a un no se han ejecutado las actividades</t>
  </si>
  <si>
    <t>Jóvenes, mujeres, hombres y grupos marginados capacitados en organización, asociatividad y gobernanza</t>
  </si>
  <si>
    <t># jóvenes, mujeres, hombres y grupos marginados capacitados en organización, asociatividad y gobernanza</t>
  </si>
  <si>
    <t>30 jóvenes, mujeres, hombres y grupos marginados capacitados en organización, asociatividad, gobernanza y gestión del recurso hídrico</t>
  </si>
  <si>
    <t>No hay avance reportado para este trimestre porque las capacitaciones no se han realizado todavía</t>
  </si>
  <si>
    <t>A un no hay avance no se han ejecutado la actividad</t>
  </si>
  <si>
    <t>CODDEFFAGOLF</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</si>
  <si>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</si>
  <si>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</si>
  <si>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</si>
  <si>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</si>
  <si>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rgb="FF000000"/>
        <sz val="11.0"/>
      </rPr>
      <t>Porcentaje de avance</t>
    </r>
    <r>
      <rPr>
        <rFont val="Arial"/>
        <b/>
        <color rgb="FF000000"/>
        <sz val="11.0"/>
      </rPr>
      <t xml:space="preserve"> </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</si>
  <si>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</si>
  <si>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</si>
  <si>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</si>
  <si>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</si>
  <si>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Incremento de la pesca en una laguna natural restaurada.</t>
  </si>
  <si>
    <t xml:space="preserve">porcentaje de aumento de libras de peces, camarón silvestre por ciclo de pesca.
 </t>
  </si>
  <si>
    <t>datos de captura levantados año 2025</t>
  </si>
  <si>
    <t xml:space="preserve">
Se ha avanzado en la elaboración y aprobación de la metodología para recolectar información sobre datos de pesca y esfuerzos de captura dentro de las lagunas de invierno este trabajo se realiza en colaboración con la Universidad Nacional Autónoma de Honduras (UNAH) / Campus Choluteca y la Dirección General de Pesca y Acuacultura (DIGEPESCA). Se inicio con un monitoreo piloto en la laguna de invierno de la Berbería, todo este aprendizaje será aplicado al momento de iniciar con el levantamiento de información en Guapinol. Además, se han tenido reuniones con los grupos de pescadores que realizan faenas en Guapinol, para socializar la herramienta que se estaría aplicando a partir del mes de mayo coincidiendo con el inicio de la temporada de lluvia y la reactivación de la pesca en las lagunas. 
</t>
  </si>
  <si>
    <r>
      <rPr>
        <rFont val="Arial"/>
        <color rgb="FF000000"/>
        <sz val="11.0"/>
      </rPr>
      <t>Como parte de este avance, ya se cuenta con el instrumento de medición diseñado y validado, el cual se implemento al inicio de la temporada de pesca en la laguna del 2025, coincidiendo con el periodo de lluvia. La aplicación de esta herramienta estubo a cargo de clubes comunitarios de monitoreo, quienes han sido capacitados y han participado en intercambios con los monitores comunitarios de la laguna de La Berbería. Los resultados obtenidos en el 2025 es la siguiente: Laguna El Quebrachal: El pescado y el camarón concentran prácticamente toda la extracción promedio de 16.6 lb de pescado y 17.6 lb de camarón por pescador segun su faena en promedio realiza 2 faena de pesca en la semana. La ausencia de registros relevantes de curil, punches y jaibas confirma una alta especialización productiva, lo que incrementa la dependencia de pocas especies y eleva la vulnerabilidad ante fluctuaciones del recurso o restricciones de acceso. Este patrón sugiere una presión focalizada sobre camarón y pescado como ejes del ingreso, la diversificación de especies varía de manera marcada según el territorio, lo que sugiere condiciones ambientales y patrones de uso diferenciados. el periodo de pesca que se realiza en esta laguna presenta una marcada concentración estacional, con un pico absoluto de participación en los meses de agosto, septiembre y octubre.  En cuanto a la laguna de Guamerú presenta los promedios más bajos de pescado (13.4 lb) y niveles intermedios de camarón (11.5 lb) por pescador segun su faena en promedio realiza 2 faena de pesca en la semana., lo que coincide con las percepciones de deterioro del recurso. A diferencia de El Quebrachal, se observa una mayor diversificación relativa de productos, con capturas de curil (4.0 lb), punches (21.5 unidades) y jaibas (7.1 unidades); sin embargo, estos volúmenes son reducidos, lo que refleja un esfuerzo alto con bajo rendimiento, característico de contextos de sobreexplotación. Esta combinación posiciona a Guamerú como la laguna con menor productividad promedio y mayor fragilidad. El periodo de pesca de esta Laguna inicia en  julio, septiembre, octubre. Este patrón evidencia una presión sostenida y prolongada sobre el recurso, ya que la actividad pesquera se mantiene activa durante gran parte del año, no como resultado de una mayor abundancia, sino como una estrategia de subsistencia frente a la baja productividad.(</t>
    </r>
    <r>
      <rPr>
        <rFont val="Arial"/>
        <color rgb="FFFF9900"/>
        <sz val="11.0"/>
      </rPr>
      <t xml:space="preserve"> Se inicia a identificar la diversidad de especies y las cantidades de productos que se capturan, para identificar el aumento de libras de peces , en los periodos de Junio -julio -agosto, todo esto mapeado sin las acciones de restauración, para monitorear el proceso post acciones de restauración para obtener mayores sitios de pesca)(Para finales del ciclo se tendrian los primeros datos, se tienen 4 poligonos dentro del área del Jicarito). Adjuntar mapas. </t>
    </r>
  </si>
  <si>
    <t>Mejorado el caudal y la calidad del agua que ingresa al sistema lagunar.</t>
  </si>
  <si>
    <t xml:space="preserve">Aumento del almacenamiento de agua en el sistema lagunar y la mejora del indicador TRIX. </t>
  </si>
  <si>
    <t xml:space="preserve">Informe de obras en las lagunas de Guapinol Informes TRIX. </t>
  </si>
  <si>
    <t xml:space="preserve">Se cuenta con una línea base del primer informe TRIX de la laguna, este es nuestro punto de partida para ir midiendo el índice de mejora en la calidad del agua. Durante este primer trimestre se realizaron 3 monitoreos de calidad de agua en 3 puntos diferentes de la laguna como parte del protocolo establecido. Los monitoreos se realizan en colaboración con la UNAH Campus Choluteca y los clubes comunitarios de monitoreo. El próximo análisis TRIX se realizará el próximo mes de marzo y se tiene contemplado un tercero para el mes de septiembre. La mejora del índice está relacionado con el desarrollo de acciones como la limpieza y desazolvado de canales y las obras de mejora que se realizan en la laguna. </t>
  </si>
  <si>
    <t xml:space="preserve">Con respecto al desarrollo de las actividades de mejora y rehabilitación de la laguna de invierno se está trabajando en el establecimiento de una borda de contención en la laguna de invierno de Guapinol, la cuenta con una longitud de 1500 metros lineales x 3 metros de ancho y 1.80 metros de altura, dicha borda constituye el aumento de la capacidad de retención para un mayor almacenamiento de agua. Ademas "Con el objetivo de evaluar la recuperación ecológica del sistema lagunar, se implementó un programa de monitoreo participativo, involucrando a pescadores locales, docentes de la Universidad Nacional Autónoma de Honduras (UNAH-Choluteca) y el equipo técnico de CDFG.   El monitoreo de calidad de agua en este periodo inicio con el fortalecimiento de capacidades a 10 pescadores de la laguna el guapinol  donde se desarrolló 2 talleres sobre el manejo y uso del equipo, para la recopilación de información para lo cual se diseñó  una ficha con los parámetros a recopilar (fisicoquímicas, nutrientes inorgánicos y clorofila), También se definieron los sitios que fueron  3 para el levantamiento de los datos que inicio durante el periodo de lluvia  y lo facilitaran al equipo de CODDEFFAGOLF para su respectivo análisis, así como determinar el estado trófico de los sistemas utilizando el índice TRIX.
Al momento de recolectar las muestras de agua se realizó a nivel superficial (30 cm). Para la medición de temperatura, salinidad, (% y mg L⁻¹) y pH se utilizó una sonda multiparamétrica YSI Profesional Plus. Los análisis de nutrientes inorgánicos (fosfato, nitritos, amonio y nitratos) y concentración de clorofila a se realizaron en laboratorio de UNAH Campus Choluteca utilizando un fotómetro YSI, métodos para agua salada y el Espectrómetro óptico V-1200.    Los datos obtenidos fueron los siguientes: temperatura de 31.7 °C, oxígeno disuelto de 4 mg L⁻¹, conductividad de 12,908 µS cm⁻¹, sólidos disueltos totales (TDS) de 7,657 mg L⁻¹, salinidad de 6.8 ‰, pH de 5, nitrato de 1.56 mg L⁻¹, nitrito de 0.02 mg L⁻¹, amonio de 0.19 mg L⁻¹ y fosfato de 0.38 mg L⁻¹.
Con toda la información levantada el equipo técnico del proyecto calculo el índice TRIX  para  el año 2025 que es de : 8.2 que según la categoría de índice de estado trófico del TRX se encuentra en la categoría de hipertrófico  que refleja un exceso de nutrientes en la columna de agua, principalmente nitrógeno y fósforo. Esto provoca un crecimiento excesivo de algas (fitoplancton), baja transparencia del agua y, frecuentemente, problemas de hipoxia (falta de oxígeno).    En la siguiente anualidad se espera realizar este monitoreo para ver la evaluación de mejora por las acciones de mejora que tiene el proyecto.       
</t>
  </si>
  <si>
    <t>Las comunidades generan y utilizan conocimiento local a través de procesos de ciencia ciudadana, para la toma de decisiones, orientados al manejo sostenible del territorio.</t>
  </si>
  <si>
    <t>Número de reportes generados por los monitoreos de biodiversidad, análisis de calidad de agua.</t>
  </si>
  <si>
    <t xml:space="preserve">Informes de monitoreos biológicos, datos estaciones meteorológicas. </t>
  </si>
  <si>
    <t xml:space="preserve">En lo que va de este periodo se han realizado tres monitores de calidad de agua y tres monitoreos de aves. Para los monitoreos de agua se hace uso del protocolo de calidad de agua y se toman las muestras en los puntos ya establecidos que son los sitios por donde ingresa y sale el agua y otro punto es donde concentra mayor cantidad de agua la laguna. Las muestras se recolectan en dos momentos uno cuando está subiendo la marea y otro cuando está vaciando. Las muestras son llevas a la UNAH Campus Choluteca para el análisis, esta información es la base para los informes TRIX. 
En cuanto a los monitoreos de aves estos se realizan en coordinación con el Instituto de Conservación Forestal (ICF) a través del departamento de vida silvestre y con la colaboración de los clubes comunitarios de observadores de aves de Guapinol y Quebrachal.  Los monitoreos se realizan siguiendo el protocolo de avistamiento de aves, para Guapinol se tienen identificado cuatro puntos de avistamiento y para Quebrachal se tienen considerado tres puntos. Durante este periodo que coincide con la época de lluvia se logro observar gran cantidad de aves principalmente migratorias lo que nos da una pauta sobre el estado de salud la laguna. 
Esto es realizado por las comunidades en el marco de ciencia ciudadana. </t>
  </si>
  <si>
    <t xml:space="preserve">Se han llevado a cabo dos procesos de monitoreo biológico. El primero corresponde al monitoreo realizado en 12 sitios en la lagunas de invierno Guapinol y Quebrachal en coordinación con el departamento de vida silvestre del Instituto de Conservación Forestal (ICF) y con la participación de un club local de monitoreo de aves: se realizaron las siguientes actividades:  se formaron dos grupos de trabajo. El primero, compuesto por observadores de aves (8 mujeres y 2 hombres pescadores de las comunidades de Guameru, Costa Azul San Bernardo y El Quebrachal), quienes han recibido capacitaciones en técnicas de observación, uso de equipos y manejo de la plataforma eBird. Los conteos de aves en las lagunas de Guameru  y Quebrachal en el area protegida del Jicarito.
El segundo grupo se encargó del monitoreo de mamíferos y reptiles mediante cámaras trampa, por la dinámica de la laguna. Las cámaras se instalaron en el perímetro de la laguna, configuradas en modo fotográfico durante 15 días. obteniendo los siguientes resultados. Especies de Aves: 92, especie de Reptiles: 2, especie de mamíferos:  10. 
El segundo monitoreo se realizo en la microcuencuenca quebrada gallardo para identificar las especie de fauna para ello se colocaran  cámaras trampa en la parte alta  especificamnete en la comunidad de Posa Grande,  en el sitio llamado El Cordoncillo, declarado como zona de protección por el ICF. Esta actividad participaron las estructuras comunitarias, la Unidad Municipal Ambiental de Namasigue y el ICF, con el propósito de identificar la presencia de mamíferos y otras especies en la zona. Además, los datos obtenidos en el siguiente trimenstre servirán como insumos técnicos para la elaboración del Plan de Ordenamiento y Manejo de la microcuenca, contribuyendo a una caracterización más completa de la fauna silvestre del territorio.
</t>
  </si>
  <si>
    <t>Estructuras comunitarias participando e incidiendo en espacios de diálogo para la resolución de conflictos con actores clave.</t>
  </si>
  <si>
    <t>Número de acuerdos alcanzados por los procesos de diálogo multiactor</t>
  </si>
  <si>
    <t>Informes de línea base del sistema de lagunas/ gobernanza local.</t>
  </si>
  <si>
    <t xml:space="preserve">Durante este periodo no se logró la firma de ningún acuerdo entre pescadores, empresa privada o gobiernos.  Pero si se realizaron colaboraciones gestionadas por los grupos de pescadores, para el caso de la limpieza y el desazolvado de canal que se realizó en el estero de Pingüino la empresa privada de HONDUFAR colaboro con la facilitación de lancha, piloto y combustible para el desarrollo de las actividades. También se hizo una presentación a la DIGEPESCA con la finalidad de regular el uso de redes prohibidas, en los esteros de acceso a la laguna se hace uso de practica llamada “chutes” practica nociva para la biodiversidad marina. 
Los diálogos se retomarán a partir del segundo mes de este año tiempo en que estarán instaladas las nuevas autoridades de instituciones del estado y gobiernos municipales. 
Se espera generar un proceso de formación en incidencia política. Es un proceso de "escuela de incidencia política" Consta de 5 módulos que van desde participación ciudadana - Políticas Públicas Nacionales - Vocerías  - Extractivismo. Ya esto está diseñado por CODDEFFAGOLF. </t>
  </si>
  <si>
    <r>
      <rPr>
        <rFont val="Arial"/>
        <color theme="1"/>
        <sz val="11.0"/>
      </rPr>
      <t xml:space="preserve">Se han establecido acercamientos con la empresa privada Granjas Marinas, con el propósito de generar alianzas estratégicas orientadas a la cooperación y el apoyo en la ejecución de actividades clave, tales como la limpieza de canales y esteros, contribuyendo así al fortalecimiento de las acciones de restauración hídrica en el territorio.
Asimismo, se prevé la formalización de un acuerdo entre las comunidades y la Fuerza de Tarea Interinstitucional, con el objetivo de fortalecer los mecanismos de coordinación y respuesta ante denuncias por delitos ambientales, así como para mejorar la gestión y resolución de conflictos a nivel local. Esta articulación busca promover una gobernanza más efectiva, basada en la corresponsabilidad entre actores comunitarios e institucionales, para la protección y manejo sostenible de los recursos naturales.
climático.
</t>
    </r>
    <r>
      <rPr>
        <rFont val="Arial"/>
        <color rgb="FFFF9900"/>
        <sz val="11.0"/>
      </rPr>
      <t>Se pretende firmar una política y ordenanza municipal para la protección del área protegida de Jicarito</t>
    </r>
    <r>
      <rPr>
        <rFont val="Arial"/>
        <color theme="1"/>
        <sz val="11.0"/>
      </rPr>
      <t xml:space="preserve"> y pesca responsable con las nuevas autoridades de la municipalidad de Namasigüe. 
</t>
    </r>
  </si>
  <si>
    <t>Impulsada la gestión integral de la microcuenca a través del conocimiento técnico, herramientas de planificación y acciones de conservación.</t>
  </si>
  <si>
    <t>Número de estructuras comunitarias que implementan acciones del plan de gestión.</t>
  </si>
  <si>
    <t xml:space="preserve">Se han identificado los actores claves en la gestión de la microcuenca y actualemente se está trabajando en la elaboración del plan de ordenamiento en coordinación con los mismos y con instituciones del gobierno (ICF) y la Universidad (UNAH). </t>
  </si>
  <si>
    <t xml:space="preserve">Se continua trabajando en la elaboración del plan (el cual se encuentra en un 80% de ejecución )de ordenamiento en las fases de zonificación, normativa, planificación y presupuesto, en coordinación con instituciones del estado (ICF, SERNA, UNAH, Municipalidad de Namasigue) asimismo con la participación de actores comunitarios, se pretende iniciar a ejecutar acciones del plan en el mes de mayo y junio.   (Se cuentan con acciones de intervención como la estación metereologica, se realizaron jornadas de sensibilización ambiental, el plan esta en construcción escrita, versus acciones en campo). </t>
  </si>
  <si>
    <t>Implementados sistemas productivos agropecuario-resilientes.</t>
  </si>
  <si>
    <t>Número de productores con sistemas productivos resilientes.</t>
  </si>
  <si>
    <t xml:space="preserve">Se está trabajando en la asistencia técnica a los productores así como en la dotación de materiales y equipo para el establecimiento de sistemas productivos resilientes. </t>
  </si>
  <si>
    <t>Se continua trabjando en las escuelas de campo con  aistencia técnica y la dotación de insumos para mejorar las condiciones de los productores de la comunidad. Se les ha dotado ademas de silos metalicos para el almacenamiento de granos basicos (maiz). (se implementan prácticas de conservación de suelos, y agricolas previas para la temporada de lluvias, previas para la producción de cultivos.)   Importante mencionar las fases estrategicas de intervención para cambios de comportamiento y teoria del cambio en los productores como una fase de sensibilización para productores compartiendo benefecios y aportes economicos en el manejo de sus parcelas o fincas)</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</si>
  <si>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</si>
  <si>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</si>
  <si>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</si>
  <si>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</si>
  <si>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rgb="FF000000"/>
        <sz val="11.0"/>
      </rPr>
      <t>Porcentaje de avance</t>
    </r>
    <r>
      <rPr>
        <rFont val="Arial"/>
        <b/>
        <color rgb="FF000000"/>
        <sz val="11.0"/>
      </rPr>
      <t xml:space="preserve"> </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</si>
  <si>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</si>
  <si>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</si>
  <si>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</si>
  <si>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</si>
  <si>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Canales que abastecen de agua mejor calidad al sistema lagunar.</t>
  </si>
  <si>
    <t>Longitud del canal rehabilitado que abastece a la laguna de invierno de Guapinol.</t>
  </si>
  <si>
    <t>Diagnóstico Hidrológico de la laguna Guapinol Informe de obras en las lagunas de Guapinol Inventario de sitios para restaurar. Mejoramiento y rehabilitacion del sistema lagunar en su totalidad</t>
  </si>
  <si>
    <r>
      <rPr>
        <rFont val="Arial"/>
        <color theme="1"/>
        <sz val="11.0"/>
      </rPr>
      <t>Esto son actividades de monitoreo y seguimiento. Se va a complementar monitoreos biológicos en estos canales. Se le va a dar seguimiento y monitoreo para ver el avance de la presencia de fauna y flora. Usando el protocolo de regeneración natural de ICF
Esto tiene impacto en la seguridad económica de las comunidades. Se mide a través de encuestas puntuales. 
Estos son monitoreos diferentes a los que tenemos en los resultados de Outcomes. Son otros monitore-protocolo de otro tipo. 
Esta rehabilitación es lo que nos permite hacer los análisis TRIX y las medidas de pesca.</t>
    </r>
    <r>
      <rPr>
        <rFont val="Arial"/>
        <color rgb="FFFF0000"/>
        <sz val="11.0"/>
      </rPr>
      <t xml:space="preserve"> </t>
    </r>
  </si>
  <si>
    <t xml:space="preserve">En esta parte se culminó la fase de ejecución de obras sin embargo se han realizados giras para darle seguimiento a los canales aperturados, y para el próximo trimestre se pretende realizar acciones de monitoreo biologico, (monitoreo con camaras trampa, monitoreos de crustaceos, monitoreos aves, monitoreos de regeneración natural, y registros de pesca), todo esto siguiendo la metodología ya esablecida por CODDEFFAGOLF e ICF.                                                                                                                                   </t>
  </si>
  <si>
    <t>Mejoras de las condiciones ecologicas de las lagunas de invierno.</t>
  </si>
  <si>
    <t>Aumento del porcenteje en riqueza y abundancia de especies presentes en las lagunas de invierno</t>
  </si>
  <si>
    <t>Informes de monitoreos biologicos.</t>
  </si>
  <si>
    <t>Se desarrolló un monitoreo biológico mediante la instalación cámaras trampa distribuidas estratégicamente en el perímetro de la laguna de invierno El Guapinol. Durante el periodo de evaluación se registraron un total de 337avistamientos de fauna silvestre, correspondientes a 295 aves, 33 mamíferos y 9 reptiles, evidenciando una importante presencia de biodiversidad asociada al ecosistema lagunar. Entre las especies de aves destacaron organismos de alta afinidad a humedales como jacanas, mojitas, garzas, cigüeñones e ibis; dentro de los mamíferos se documentó la presencia de mapache, zorrillo, coyote y murciélagos; mientras que en reptiles sobresalió el registro de garrobo. La información generada mediante este monitoreo constituye la línea base técnica de referencia para futuras comparaciones orientadas a evaluar el comportamiento de la abundancia faunística y determinar el efecto de las obras de restauración e intervención ejecutadas dentro del sistema lagunar.</t>
  </si>
  <si>
    <t>Una vez culminadas las obras de mejoramiento en la laguna mediante la construcción de bordas y compuertas destinadas a incrementar la capacidad de retención hídrica, se ejecutarán nuevos monitoreos biológicos utilizando la metodología de cámaras trampa como herramienta principal de evaluación, los cuales se desarrollará durante el periodo de transición entre la temporada seca, cuando la laguna presenta menores niveles de agua, y el inicio de la temporada lluviosa, momento en el cual las primeras precipitaciones y el ingreso de mareas incrementan el flujo hidrológico de la laguna, lo que permitirá evaluar de manera integral la respuesta ecológica del ecosistema en una etapa clave de recuperación hídrica, donde se prevé una mayor disponibilidad de hábitat para la fauna silvestre, por lo cual  la retención de agua favorecerá el uso de la laguna por parte de aves, mamíferos y reptiles para actividades de alimentación, refugio y reproducción, promoviendo así un incremento en la funcionalidad ecológica del humedal. Los resultados obtenidos serán analizados mediante la aplicación de índices ecológicos que permitan calcular la abundancia, riqueza relativa y composición de especies presentes en la zona, facilitando la comparación técnica con la línea base establecida previo a la intervención y permitiendo estimar el aumento de especies asociado a las obras ejecutadas.</t>
  </si>
  <si>
    <t>Aumento de la productividad pesquera artesanal.</t>
  </si>
  <si>
    <t>Nuevos sitios con condiciones para realizar faenas de pesca</t>
  </si>
  <si>
    <t>Informe de poblaciónes de peces.</t>
  </si>
  <si>
    <t>En el estero La Varillosa, en el año 2023 se realizó la apertura de un canal, lo que permitió el ingreso de peces y camarones, generando una reactivación de la actividad pesquera en la zona. Como resultado, varios pescadores comenzaron a visitar estos sitios para realizar sus faenas, evidenciando la recuperación de su funcionalidad ecológica.
Durante el presente periodo, se llevó a cabo el mantenimiento del canal, ya que algunos tramos se habían aterrado debido a las lluvias y las mareas. Esta zona fue priorizada por su importancia en la conectividad ecológica entre el sistema lagunar y el estero.</t>
  </si>
  <si>
    <t xml:space="preserve"> Durante este periodo se delimitó un nuevo sitio de pesca, ubicado en una red de canales (X: 476181, Y: 1450121) del estero La Varillosa, la rehabilitacion consistio en limpieza, ampliacion y profundidad del area del canal que permitio mejora el flujo del agua del estero a hacia la laguna y logrando aumentar la entrada de alebines de camaron y peces asegurando la produccion y prolongar las faenas de pesca de los pescadores artesanales de las comunidades de Guameru, Costa Azul, San Bernardo y San Jeronimo. Ademas un estudiante de la carrera de Biología de la Universidad Nacional Autona de Honduras realizara  un estudio de tesis para la caracterizacion de poblaciones de peces y el esfuerzo de captura en la laguna. 
</t>
  </si>
  <si>
    <t>Sistema permanente de monitoreo comunitario, con énfasis en ciencia ciudadana, para monitoreo participativo de la calidad del agua, la biodiversidad y monitoreo del clima.</t>
  </si>
  <si>
    <t>Número de organizaciones integradas al sistema de monitoreo comunitario establecido y operando de forma periódica</t>
  </si>
  <si>
    <t>Red de observadores de aves, 2 Club de monitoreo, Red de observadores climáticos.</t>
  </si>
  <si>
    <t xml:space="preserve">En la parte baja de la microcuenca se han integrado al monitoreo la red de observadores de aves, y comité de gestión de la laguna de invierno de Guapinol, sin embargo para la parte alta de la microcuenca aun falta consolidar estos grupos comunitarios. Ya los actores están identiicados pero hay que consolidar una estructura comunitaria. 
Estan gestionando Estaciones Meteorológicas Comunitarias en la parte alta que van a formar parte de una red de monitoreo del clima. "Red de Observadores Comunitarios del Clima"
Esto forma parte de una red regional de observadores climáticos. </t>
  </si>
  <si>
    <r>
      <rPr>
        <rFont val="Arial"/>
        <color theme="1"/>
        <sz val="11.0"/>
      </rPr>
      <t>En la parte alta y baja de la microcuenca se han integrado grupos comunitarios a la Red de Observadores Comunitarios del Clima, donde se instalaron dos estaciones para el registro de datos de precipitación, temperatura y humedad en las comunidades de Coyolar Abajo y La Cuchilla. La recolección de esta información es realizada directamente por dos productores que forman parte del proceso de Escuelas de Campo, quienes han sido capacitados para operar los equipos y garantizar la calidad de los datos. La obtencion de los datos recoplilados durante el mes de Marzo en la comunidad de Coyolar Abajo en cuanto al registro de temperatura y humedad son las siguientes</t>
    </r>
    <r>
      <rPr>
        <rFont val="Arial"/>
        <color rgb="FF0000FF"/>
        <sz val="11.0"/>
      </rPr>
      <t xml:space="preserve"> </t>
    </r>
    <r>
      <rPr>
        <rFont val="Arial"/>
        <color theme="1"/>
        <sz val="11.0"/>
      </rPr>
      <t xml:space="preserve">(temperatura, se registró una temperatura mínima de 25.3 °C y una máxima de 30.5 °C. Estos valores reflejan un ambiente donde predominan temperaturas elevadas, favoreciendo la persistencia de un clima cálido a lo largo del mes. En cuanto a humedad, la humedad relativa, se observó un rango que va desde 42% (mínima) hasta 70% (máxima). En la zona baja en la comunidad de la Cuchilla se obtuvieron los siguientes datos. Temperatura: Se registró una temperatura mínima de 26.4 °C y una máxima de 37.8 °C. Estos valores reflejan un ambiente donde predominan temperaturas elevadas, favoreciendo la persistencia de un clima cálido y estresante para la vegetación durante todo el mes. Humedad: Se observó un rango amplio entre el 16% (mínima) y el 90% (máxima). Los niveles bajos de humedad (16%) favorecen una rápida evaporación del agua almacenada en el suelo. Con la informacion se elabora un boletin el cual es compartido con los productores para que utilizen esta informacion en sus labores agricolas.
Asimismo, se ha integrado a un grupo actores comunitarios a las acciones de monitoreo biológico, y se han desarrollado actividades de instalación y revisión de cámaras trampa, las cuales han sido implementadas en el marco de la elaboración del Plan de Ordenamiento y Manejo. Esta integración comunitaria ha permitido fortalecer las capacidades locales y asegurar la generación de información clave para la toma de decisiones en el territorio.
</t>
    </r>
  </si>
  <si>
    <t>Plan de ordenamiento y manejo integrado de la microcuenca Gallardo.</t>
  </si>
  <si>
    <t>Número de programas implementados para la gestión de la microcuenca.</t>
  </si>
  <si>
    <t>2 programas implementados para la gestión de la microcuenca.</t>
  </si>
  <si>
    <t xml:space="preserve">Actualmente se está trabajando en la elaboración del plan de ordenamiento, posterior a ello se priorizaran los programas a implementar una vez finalizado socializado el documento se implementaran los mismos. </t>
  </si>
  <si>
    <t>Se continúa trabajando en la elaboración del Plan de Ordenamiento, avanzando en la etapa de sistematización de la información así como en la generación de la información cartografica, (mapas de cobertura, mapas de pendientes, mapas de hidrografia, mapas de suelos y usos de suelo, mapas de conflictos), ademas a partir del primer taller realizado se ha priorizado los programas de manejo de los recursos naturales, educación ambiental, agua y saneamiento, desarrollo comunitario y adaptación al cambio climático. Estos programas han sido definidos como prioritarios por los actores comunitarios involucrados, con la participación de la municipalidad de Namasigüe, y con la asistencia técnica del Instituto de Conservación Forestal (ICF). A finales de abril y a inicios de mayo se estaran desarrollando los 2 ultimos talleres y se prevé iniciar la ejecución de dichos programas a partir  finales del mes  mayo y inicios de junio.</t>
  </si>
  <si>
    <t>Escuela de campo para la promoción y adopción de buenas prácticas agrícolas (conservación de suelos y agua, manejo de cultivos y sistemas).</t>
  </si>
  <si>
    <t xml:space="preserve">Implementacion de buenas practicas agricolas dentro de las parcelas. </t>
  </si>
  <si>
    <t>Se han desarrollado 3 escuelas de campo con los productores, en cada escuela de campo se han priorizados temas como las Obras de conservación de suelo, preparación de sitios para cultivos, manejo de plagas, elaboración de abonos orgánicos, foliares y aún falta otros temas que se estarán desarrollando en las próximas escuelas de campo. (Manejo adecuado de galpones y porquerizas, sanidad animal y jornadas de vacunación de aves, almacenamiento adecuado para semillas).</t>
  </si>
  <si>
    <t xml:space="preserve">A partir de la implementación de las escuelas de campo, se ha logrado que las y los productores incorporen prácticas de conservación de suelos en la preparación de sus parcelas para la temporada de siembra de primera (15 de mayo). Entre estas prácticas destacan la construcción de muros de piedra, la elaboración de terrazas y el trazado de curvas a nivel.
Durante este periodo se retomó el desarrollo de las escuelas de campo, enfocándose en la producción de 40 quintales de abonos y 70 litros de insecticidas orgánicos elaborados a partir de materiales locales el cual se realizo una distribucion equitativa del producto a los productores/as. En este proceso participan 10 productores y productoras distribuidos entre la microcuenca y la zona costera. La implementación de esta escuela tiene como objetivo promover la adopción de estas buenas prácticas en sus parcelas productivas, contribuyendo a la reducción de costos de producción y a la disminución de la contaminación en el paisaje. </t>
  </si>
  <si>
    <t>ASOCIACIÓN ECO</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</si>
  <si>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</si>
  <si>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</si>
  <si>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</si>
  <si>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</si>
  <si>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</si>
  <si>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</si>
  <si>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</si>
  <si>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</si>
  <si>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Redes de comités de agua con fortalecimiento de su gobernanza</t>
  </si>
  <si>
    <t>2 Redes administradoras de hombres y mujeres de servicios de agua, para la gestión integrada de los recursos hídricos, capacitadas haciendo incidencia</t>
  </si>
  <si>
    <t>Existencia de 13 organizaciones comisiones de agua y saneamiento conformadas por hombres mujeres y jóvenes que administran el servicio a nivel de comunidades de 5 parques</t>
  </si>
  <si>
    <t xml:space="preserve">2 redes conformadas participativamente de forma inclusiva  con comités de agua de comunidades que se benefician con servicios ecosistémico agua dulce de los parques regionales municipales , para la protección del recurso hidrico, realizando  monitoreos y análsiis de agua vinculados a las autoridades municipalidades y las universidades del territorio, las cuales contarán con un plan de acción y articulación. </t>
  </si>
  <si>
    <r>
      <rPr>
        <rFont val="Arial"/>
        <color rgb="FF000000"/>
        <sz val="11.0"/>
      </rPr>
      <t xml:space="preserve">Las redes se encuentran en proceso de sensibilización , actualmente se encuentran cursando un diplomado " fortalecimiento de la Gobernanza del agua" , el cual finaliza el 29 enero del 2026. Se procede a involucrar a actores el ministerio de Salud y la unidad de areas protegidas de las municipalidades de los municipios de intervención, para que ellos se involucren con los comites y redes para garantizar la sostenibilidad en el acompañamiento de las redes para el manejo de los recursos. Se están realizando alianzas con la universidad CUNOC, para el análisis fisico y quimico  y monitoreo de agua. se conformo 1 red de comités que brindan el servicio de agua en comunidades aledañas a los 5 parques regionales.   </t>
    </r>
    <r>
      <rPr>
        <rFont val="Arial"/>
        <color rgb="FFFF0000"/>
        <sz val="11.0"/>
      </rPr>
      <t xml:space="preserve">CATIE: Recomienda que se pueda sistematizar toda esta experiencia y que los acuerdos puedan ser medios de verificación.  </t>
    </r>
  </si>
  <si>
    <r>
      <rPr>
        <rFont val="Arial"/>
        <color rgb="FF000000"/>
        <sz val="11.0"/>
      </rPr>
      <t xml:space="preserve">Se ha conformado una red con participación de 18 comités de agua potable de comunidades que se encuentarn tomando su vital líquido de nacimientos ubicados en parques regionales municipales.Derivado del proceso de fortalecimiento de capacidades del Diplomado de agua.  Actualmente estamos identificando otros comités para fortalecimiento de la red, esta acción se esta desarrollando con apoyo de los líderes de los comités capacitados en diplomado de fortalecimiento de la gobernanza del agua. Se cuenta con listado de comunidades y mapas de ubicación de otras fuentes de agua para el mes de abril se realizarán reuniones con estos comités para medir su disponibilidad de fortalecimiento de la red.  </t>
    </r>
    <r>
      <rPr>
        <rFont val="Arial"/>
        <color rgb="FFFF9900"/>
        <sz val="11.0"/>
      </rPr>
      <t xml:space="preserve">Se ha construidio una estrategia y plan de trabajo, para organizar y focalizar las acciones de la red, ahora se identifican nuevos comites para fortalecer la RED.  Colocar observaciones de una red vrs dos redes. </t>
    </r>
  </si>
  <si>
    <t>3 Redes administradoras de hombres y mujeres de servicios de agua, para la gestión integrada de los recursos hídricos, capacitadas haciendo incidencia</t>
  </si>
  <si>
    <t xml:space="preserve">2 redes capacitadas en temas de gobernanza y administración, operación y mantenimiento del servicio y de la red.  </t>
  </si>
  <si>
    <t>Se han desarrollado 4 sesiones de las 4 planificadas dentro del diplomado de fortalecimientod e la gobernanza</t>
  </si>
  <si>
    <t xml:space="preserve">Diplomado con seguimiento de acciones con apoyo del ministerio de salud pública y asistencia social, ACREDICOM y ASDESARROLLO, quienes han desarrollado una actividad de capacitación en temas de la importancia de la cloración para el tratamiento del agua y la disponibilidad para el desarrollo de procesos de reforestación en zonas de recarga hidrica. </t>
  </si>
  <si>
    <t>Fortalecimiento de 5 viveros forestales municipales</t>
  </si>
  <si>
    <t>Número de viveros fortalecidas con infraestructura para semilleros, capacitándolos para el uso y mantenimiento</t>
  </si>
  <si>
    <t>Según diagnostico de los viveros forestales municipales, actualmente se cuenta con espacios a través de cajas de madera o canteros para producción de semilleros, necesitandose de materiales para implementación de infraestructura productiva, semillas, agroinsumos etc</t>
  </si>
  <si>
    <t>5 viveros Fortalecidos con Materiales e Insumos para producción de planta</t>
  </si>
  <si>
    <t>Se desarrollaron 5 diagnosticos y visitas a viveros forestales municipales sobre este diagnóstico y reunión con personal técnico se tomo la determinación de insumos materiales y equipo necesario para garantizar la producción y disponibilidad de planta</t>
  </si>
  <si>
    <t xml:space="preserve">Se han realizado los respectivos monitoreos a los 5 viveros  en la producción de planta en viveros forestales asimismo se ha monitoreado la construcción de infraestructura en apoyo a mejora de condiciones para producción y germinación de plantas forestales. (cajas germinadoras, invernaderos, casas malla). </t>
  </si>
  <si>
    <t>Número de parques regionales con al menos 5 hectáreas restauradas con plantas nativas de la región</t>
  </si>
  <si>
    <t>Se han realizado algunos esfuerzos para restaurar parte de la zona en 5 parques regionales</t>
  </si>
  <si>
    <t xml:space="preserve">Restauración asistida en 3 parques regionales y en terrenos particulares, con especies nativas como el aliso y propiedades maderables como el pino y el cipres. </t>
  </si>
  <si>
    <t xml:space="preserve">Se apoyó con entrega de planta forestal, con la cual se reforesto diferentes áreas con vacios de conectividad en comunidades aledañas y en tres parques regionales municipales (Con especies de pino colorado, cipres y aliso que es una especie nativa con propiedades de retención de humedad y rebrote, de preferencia para las mujeres para el uso de leña) </t>
  </si>
  <si>
    <t>Se coordina con el parque regional municipal de San Pedro Sacatepéquez la restauración de un lote de 4 a 5 hectáreas la cual se realizará en el mes de mayo 2026. Además se han coordinado visitas de acompañamiento a personeros de la dirección municipal de áreas protegidas y medio medio ambiente DAPMA revisando el porcentaje de prendimiento de restauraciones desarrolladas en 3 parques regionales municipales San Marcos, San Pedro sacatepéquez y Esquipulas Palo Gordo.</t>
  </si>
  <si>
    <t>Número de Hectáreas asistidas con restauración forestal en parques regionales y áreas privadas</t>
  </si>
  <si>
    <t>50 hectáreas de restauración , con asistencia técnica para propietarios indivudales, miembros de CADERES, personal MAGA, MUNICIPAL,  en parques regionales y en terrenos particulares</t>
  </si>
  <si>
    <t xml:space="preserve">Se apoyó con planta forestal nativa (pino, cipres, aliso, palo blanco, cedro, tepemiste, guayabo y matilistguate), de la región para reforestación de áreas particulares con enfoque SAF y comunitarias en zonas de recarga hídrica en comunidades aledañas a los parques regionales municipales, para las regiones frías, Cipres, aliso y pino.  </t>
  </si>
  <si>
    <t>Se monitorea los bosques particulares y zonas de recarga hídrica de parques regionales apoyados con reforestación con la finalidad de medir el grado de prendimiento de la planta sembrada, en apoyo a personal de la dirección municipal de áreas protegidas y medio ambiente de los municipios implicados.</t>
  </si>
  <si>
    <t>1 proceso de incidencia ante tomadores de decisión para reglamentar el uso de tierras municipales desarrollado</t>
  </si>
  <si>
    <t>Numero de sesiones de incidencia desarrolladas</t>
  </si>
  <si>
    <t>En la región no se han desarrollado este tipo de mecanismos para orientar el uso de tierras municipales</t>
  </si>
  <si>
    <t xml:space="preserve">5 sesiones de incidencia politica, desarrollados con actores y  tomadores de decision y organizaciones locales, en la municipalidad de San Cristobal Cuchu, para el manejo y administración de las tierras para un buen uso de los recursos naturales renovables. </t>
  </si>
  <si>
    <t>Se han desarrollado dos reuniones con personeros de la dependencia DAPMA Dirección Municipal de Áreas Protegidas del Municipio de San Cristobal Cucho,  para diagnosticar la situación del arrendamiento de las tierras dentro del PRM, además de una visita de campo para ver el estado de las 130 hectáreas, contamos con el instrumento legal con el cual se otorgan las tierras en arrendo para revisarlo y analizar la propuesta de acciones de conmservación y protección de estas áreas.</t>
  </si>
  <si>
    <t xml:space="preserve">Se desarrollaron 2 reuniones más una con el CONAP para revisar actualización de plan maestro del área protegida del parque regional de San Cristoibal Cucho, otra reunion con INAB para revisar los 14 poligonos del área protegida que se encuentran con el programa de incentivos forestales Probosque.  Se logra que estos dos entes rectores se sumen a la campaña de incidencia y promover acciones que contribuyan con la conservación de 3000 cuerdas equivalente a 130.43 hectáreas de tierras municipales que por encontrarse en situación de arrendo a 300 familias para la producción de granos básicos han quedado fuera del área protegida según el CONAP. Finalmente se desarrolla una reunion con participación del DAPMA, Juez de Asuntos Municipales y representantes del CONAP e INAB, con la finalidad de dar seguimiento a la incidencia con tomadores de decisión para proponer acciones a corto plazo que garanticen la conservación de esta importante sección de tierras municipales, consideradas zona de amortiguamiento del parque regional municipal. Generación de documento que integra activiades y reglamentos para la sostenibilidad y mantenimiento de accionar sobre las zonas de amortiguamiento </t>
  </si>
  <si>
    <t>50 hectáreas de sistemas agroforestales con plantas perennes café y plantas anuales maiz y hortalizas a campo abierto</t>
  </si>
  <si>
    <t>Número de hectáreas de sistemas SAF establecidas</t>
  </si>
  <si>
    <t>En la región se ha impulsado el fortalecimiento de los sistemas SAF con café y con cultivos anuales como maíz y hortalizas a campo abierto</t>
  </si>
  <si>
    <t>54  hectáreas de sistemas agroforestales con café maíz y hortalizas fortalecidos</t>
  </si>
  <si>
    <t>Se apoyo con panta de café y planta forestal para el fortalecimiento de los sistemas agroforestales de comunidades aledañas al parque de Esquipulas Palo Gordo, San Cristobal Cucho, San Marcos, San Pedro Sacatepequez y San Antonio Sac.</t>
  </si>
  <si>
    <t>Se continua en coordinación con ANACAFE, desarrollando capacitaciones sobre SAF y manejo tecnologico del café como principal medio de vida en las comunidades donde se fortalecieron los SAF con apoyo de planta de especies forestales como palo blanco, matilisguate, tepemiste y guayabo, además de planta de café y algunas plantas frutales como limón y agucate.</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</si>
  <si>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</si>
  <si>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</si>
  <si>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</si>
  <si>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</si>
  <si>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</si>
  <si>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</si>
  <si>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</si>
  <si>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</si>
  <si>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20 estufas ahorradoras de leña construidas a familias que habitan en comunidades dentro o alrededor de los parques regionales</t>
  </si>
  <si>
    <t>Numero de estufas ahorradoras de leña construidas</t>
  </si>
  <si>
    <t>En la región se han impulsado este tipo de proyectos para el ahorro de uso de leña</t>
  </si>
  <si>
    <t>20 estufas ahorradoras de leña construidas</t>
  </si>
  <si>
    <t>En vinculación con las DMM  se identifican las áreas de familias que mayor consumo de leña generan, aplicando estudidos socioeconomicos, para priorizar a 20 mujeres que no poseian y las que si las que no realizaban un buen manejo, para que ellas pudieran hacer un mejor uso de la leña en donde se crearon acuerdos donde existe un intercambio de aporte de parte de las mujeres priorizas con la implementación de las estufas. Se han construido recepcionado y entregado las 20 estufas a las familias beneficiadas.</t>
  </si>
  <si>
    <t>Se monitorea el uso de las estufas en comunidades aledañas a los parques regionales.</t>
  </si>
  <si>
    <t>1 diplomado sobre uso correcto y seguro de agroquímicos denominado "Aplicadores Calificados"; desarrollado en alianza con Asociación del Gremio Químico Agrícola AGREQUIMA</t>
  </si>
  <si>
    <t>Número de productores diplomados como Aplicador Calificado de Agroquímicos</t>
  </si>
  <si>
    <t>En la región AGREQUIMA ha impulsado el uso responsable de agroquímicos a través de este tipo de cursos de capacitación dirigida a productores de hortalizas y cultivos perennes como el café</t>
  </si>
  <si>
    <t>25 productores calificados</t>
  </si>
  <si>
    <t xml:space="preserve">Implementación de un Diplomado, con herramientas de inclusion de genero, adaptado para modulos infantiles en coordinación con AGREQUIMA, se han desarrollado 4 sesiones de las 4 planificadas certificando como aplicadores calificados a 30 personas de diferentes organizaciones que trabajan con medios de vida principales en comunidades aledañas a los parques regionales, los cuales son aplicadores certifficados para un buen manejo se los insumos agroquimos en la región. </t>
  </si>
  <si>
    <t>Las organizaciones ASODIME Y AAGUASAM, han desarrollado acciones relacionadas a la replica de capacitaciones con sus socios, especificamente en temas de mantenimiento, calibración y reparación de equipos de aspersión de agroquímicos.</t>
  </si>
  <si>
    <t>2 diplomado sobre uso correcto y seguro de agroquímicos denominado "Aplicadores Calificados"; desarrollado en alianza con Asociación del Gremio Químico Agrícola AGREQUIMA</t>
  </si>
  <si>
    <t>Numero de jaulas de recolección de envases y empaques de agroquimicos instaladas</t>
  </si>
  <si>
    <t>5 jaulas de recolección instaladas en puntos estrategicos a la operación de las organizaciones productivas dentro del paisaje</t>
  </si>
  <si>
    <t>Se realizara una jornada de sensibilización para niños, mamás y usurios sobre la importancia del manejo de los envases y asi se instalarán las jaulas  al finalizar el diplomado, como parte de la carta acuerdo con AGREQUIMA</t>
  </si>
  <si>
    <t>Se coordina con AGREQUIMA la colocación de la primera jaula para almacenamiento de emvases de agroquímicos la cual será colocada en el municipio de San Cristobal Cucho, además se han enviado los puntos clave a colocar las cinco jaulas y el actor responsable de velar por el resguardo y por el vaciado de las mismas.</t>
  </si>
  <si>
    <t>25 sistemas de agua de riego convertidos de gravedad aspersión a goteo</t>
  </si>
  <si>
    <t>Número de sistemas de riego por goteo funcionando</t>
  </si>
  <si>
    <t>En la región únicamente se han trabajado sistemas de riego por goteo dentro de invernaderos</t>
  </si>
  <si>
    <t xml:space="preserve">26 sistemas de riego, parriticipativos e inclusivos   a miembros del CADERES , de media cuerda cada uno con su respectivo fertirriego ( TOTAL 36 , 10 en asocio y 26 implementados ) </t>
  </si>
  <si>
    <t>Se mejoraron 26 sistemas de riego por goteo y construyeron 26 sistemas de fertirriego en coordinación con ASODIME, y se construyeron 10 sistemas de riego por goteo y 10 venturí con CADER de las Agencias de Extensión Rural del MAGA en San Antonio Sacatepéquez y Esquipulas Palo Gordo.</t>
  </si>
  <si>
    <t>Se monitorea el uso correcto de la infraestructura de riego por goteo y fertirriego instalada en estas 36 parcelas.</t>
  </si>
  <si>
    <t>1 campaña de sensibilización sobre el manejo de residuos sólidos</t>
  </si>
  <si>
    <t>Número de campañas de comunicación sobre manejo adecuado de residuos y desechos sólidos a desarrollarse</t>
  </si>
  <si>
    <t>Se han realizado vallas publicitarias, spots radiales y televisivos, sobre el manejo de residuos y desechos sólidos</t>
  </si>
  <si>
    <t>Se ha transmitido 3 spots radiales en idiomas locales sobre la importancia de un manejo adecuado de los residuos</t>
  </si>
  <si>
    <t xml:space="preserve">Se ha coordinado con radio local para la difusión de 5 spots  en coordinación con la Unidad de Educación Ambiental del Ministerio de Ambiente. MARN, para el seguimiento de la sensibilización realizada  a 20 comunidades en temas ambientales en coordinación municipalidad, MAGA Y MARN y también se incluyeron 16 centros educativos. </t>
  </si>
  <si>
    <t xml:space="preserve">Se identifican nuevas radios locales para poder difundir los spot radiales en los 5 municipios atendidos con la campaña de comunicación y sensibilización sobre el manejo correcto de residuos sólidos.  </t>
  </si>
  <si>
    <t>2 campaña de sensibilización sobre el manejo de residuos sólidos</t>
  </si>
  <si>
    <t>Se han transmitido 2 spots televisivos sobre la importancia de un manejo adecuado de los residuos.</t>
  </si>
  <si>
    <t xml:space="preserve">Se trabaja en el diseño de los spots televisivos </t>
  </si>
  <si>
    <t>En proceso de diseño de los spots</t>
  </si>
  <si>
    <t>3 campaña de sensibilización sobre el manejo de residuos sólidos</t>
  </si>
  <si>
    <t>Se han instalado 5 vallas publicitarias sobre el manejo adecuado de los desechos sólidos</t>
  </si>
  <si>
    <t>Se instalaron las 5 vallas diseñadas en puntos estrategicos cercanos a los 5 parques regionales donde se encuentran focos de contaminación, previo se han coordinado campañas de limpieza con autoridades comunitarias y municipales.</t>
  </si>
  <si>
    <t>Se monitorea el estado de  las 5 vallas publicitarias sobre el manejo correcto de los residuos sólidos.</t>
  </si>
  <si>
    <t>FENAPROCACAHO</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</si>
  <si>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</si>
  <si>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</si>
  <si>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</si>
  <si>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</si>
  <si>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</si>
  <si>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</si>
  <si>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</si>
  <si>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</si>
  <si>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Se fortalecen las capacidades técnicas de los productores de cacao y cardamomo que pertenecen a las escuelas de campo, mediante la implementación de prácticas de agricultura regenerativa</t>
  </si>
  <si>
    <t>Número de productores que implementan en sus parcelas, prácticas de agricultura regenerativa</t>
  </si>
  <si>
    <t>28 productores</t>
  </si>
  <si>
    <t>% de mujeres y jóvenes que participan en procesos de formación en las Escuelas de Campos</t>
  </si>
  <si>
    <t>Al menos 30% de las personas que participan son mujeres. (12 personas). Medida de cálculo (40*0,30)</t>
  </si>
  <si>
    <t>Durante las escuelas de campo se logrado el 30% de participación de mujeres</t>
  </si>
  <si>
    <t>Numero de productores/as que participa en escuela de campo (Ecas)</t>
  </si>
  <si>
    <t>40 productores/as</t>
  </si>
  <si>
    <t xml:space="preserve">Originalmente querían hacerlas de cacao pero  los productores quieren que sea de cardamomo. </t>
  </si>
  <si>
    <t>Meta superada tenemos 54</t>
  </si>
  <si>
    <t>Áreas degradadas restauradas mediante implementación de SbN como ser reforestación comunitaria, manejo integrado de microcuencas y fortalecimiento de sistemas comunitarios de agua</t>
  </si>
  <si>
    <t>Número de ha restauradas con espécies nativas</t>
  </si>
  <si>
    <t>30 hectáreas restauradas</t>
  </si>
  <si>
    <t>La restauración se iniciaria entre los meses de junio a agosto</t>
  </si>
  <si>
    <t>Numero de viveros comunitarios</t>
  </si>
  <si>
    <t>3 viveros comunitarios</t>
  </si>
  <si>
    <t>Se tiene carta de entendimiento con CCO</t>
  </si>
  <si>
    <t>CCo y escuelas de campo</t>
  </si>
  <si>
    <r>
      <rPr>
        <rFont val="Arial"/>
        <color theme="1"/>
        <sz val="11.0"/>
      </rPr>
      <t>Número de sistemas comunitarios de agua fortalecidos con redes de tuberías e infraestructura hidráulica rehabilitada o instalada.
*</t>
    </r>
    <r>
      <rPr>
        <rFont val="Arial"/>
        <color rgb="FFFF0000"/>
        <sz val="11.0"/>
      </rPr>
      <t xml:space="preserve"> MTS lineales de tuberia</t>
    </r>
    <r>
      <rPr>
        <rFont val="Arial"/>
        <color theme="1"/>
        <sz val="11.0"/>
      </rPr>
      <t xml:space="preserve"> y acuerdos comunitarios, (Carta de entendimiento) </t>
    </r>
  </si>
  <si>
    <t>Mejoramiento de 3 sistemas de conducción y distribución de agua</t>
  </si>
  <si>
    <t xml:space="preserve">Esta en procesos administrativos para la adquirir los materiales, se ha coordinado con JAAP, con los croquis e identificar las zonas para mejorar la conducción y distribución </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</si>
  <si>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</si>
  <si>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</si>
  <si>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</si>
  <si>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</si>
  <si>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</si>
  <si>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</si>
  <si>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</si>
  <si>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</si>
  <si>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Sistemas agroforestales de cacao fortalecidos aplicación de buenas prácticas agrícolas, orientados a mejorar la productividad, la resiliencia climática y la sostenibilidad de los medios de vida del paisaje.</t>
  </si>
  <si>
    <t>Número de parcelas con sistemas agroforestales de cacao y cultivos asociados mejorados mediante ajuste de densidad y aplicación de buenas prácticas agrícolas.</t>
  </si>
  <si>
    <t>28 parcelas</t>
  </si>
  <si>
    <t>Con los productores de ECAS, se va inicar a trabajar en junio - agosto</t>
  </si>
  <si>
    <t>Capacitaciones participativas y adaptativas realizadas para fortalecer capacidades locales en la implementación de sistemas agroforestales sostenibles y resilientes en el marco de la red de restauracion forestal</t>
  </si>
  <si>
    <t>Número de Capacitaciones participativas y adaptativas realizadas para fortalecer capacidades locales en SAF.</t>
  </si>
  <si>
    <t>10 capacitaciones participativas</t>
  </si>
  <si>
    <t>Se va hacer un intercambio el 28 de enero del 2025</t>
  </si>
  <si>
    <t>Se han desarrollado 4 capacitaciones de intercambio entre productores, se espera concluir 6 en el siguiente semestre</t>
  </si>
  <si>
    <t>Número de eventos/ intercambios realizados</t>
  </si>
  <si>
    <t>Número de participantes que reportan aprendizaje.</t>
  </si>
  <si>
    <t xml:space="preserve">32 participantes </t>
  </si>
  <si>
    <t>Se evalua al finalizar el proceso de formación  de las ECAS</t>
  </si>
  <si>
    <t>Se evalua al finalizar las ECAS</t>
  </si>
  <si>
    <t>Uso de kit de herramientas e insumos para implementar sistemas SAF.</t>
  </si>
  <si>
    <t>Número de productores/as que usan el kit, en la implementación de prácticas.</t>
  </si>
  <si>
    <t>32 productores/as</t>
  </si>
  <si>
    <t xml:space="preserve">Entregaran los kit en mayo </t>
  </si>
  <si>
    <t>Entregas de Kit en mayo</t>
  </si>
  <si>
    <t>Sistema comunitario de monitoreo del recurso hídrico activo, con kits de análisis y vigilancia local.</t>
  </si>
  <si>
    <t>Número de grupos comunitarios y/o JAAP capacitados en el monitoreo del analisis de la calidad de agua.</t>
  </si>
  <si>
    <t>3 Grupos Comunitarios y/o JAAP</t>
  </si>
  <si>
    <t>Inicio de proceso formación de Gobernanza Hídrica en Febrero</t>
  </si>
  <si>
    <t>Se capacitaran en el siguiente trimestre</t>
  </si>
  <si>
    <t>Número de reportes de monitoreo generados.</t>
  </si>
  <si>
    <t>3 reportes de monitoreo</t>
  </si>
  <si>
    <t>se hará monitore en abril, para conocer las prácticas implementadas</t>
  </si>
  <si>
    <t>Se iniciaria el siguiente trimestre</t>
  </si>
  <si>
    <t>Viveros comunitarios produciendo especies nativas para restauración y diversificación productiva.</t>
  </si>
  <si>
    <t># de plantas producidas en los viveros.</t>
  </si>
  <si>
    <t>3000 plantas producidas</t>
  </si>
  <si>
    <t>Se inicia producción en febrero</t>
  </si>
  <si>
    <t xml:space="preserve">La producción de plantas, a marzo 925 y están 2075 en germinación </t>
  </si>
  <si>
    <t>FUNDACIÓN DEFENSORES DE LA NATURALEZA</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</si>
  <si>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</si>
  <si>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</si>
  <si>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</si>
  <si>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</si>
  <si>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</si>
  <si>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</si>
  <si>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</si>
  <si>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</si>
  <si>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66 familias de Santa Rosa Balandra, Balandra, Buena Vista, Chapín Arriba y Mirador implementan prácticas de restauración en 46 hectáreas, mejorando la cobertura vegetal y fortaleciendo la resiliencia del paisaje ante eventos climáticos extremos. Se busca que las familias implementen prácticas de restauración productiva y ecológica en sus parcelas, a través de sistemas agroforestales con planes de finca que aumenten la cobertura vegetal, con especies nativas y adaptadas. Estas acciones permitirán conservar suelos, mitigar el riesgo de incendios y fortalecer la resiliencia del paisaje frente a los efectos del cambio climático.</t>
  </si>
  <si>
    <t>Número de familias que implementan prácticas de restauración a través de la agroforestería con plan de finca</t>
  </si>
  <si>
    <t>51 familias implementan SAF y 20 familias se encuentran trabajando SAF con plan de finca</t>
  </si>
  <si>
    <t>66 familias implementan prácticas de restauración a través de la agroforestería</t>
  </si>
  <si>
    <t>Se ha trabajado en los procesos de identificación de nuevos productores. Actualmente, se cuenta con una base de datos de las familias implementadoras de sistemas agroforestales (SAF), que abarcan 15 hectáreas, así como con el seguimiento y monitoreo de parcelas correspondientes a 20 familias.</t>
  </si>
  <si>
    <t>Se ha dado seguimiento a las familias beneficiadas ademas de capacitarlas se les a brindado apoyo 15 familias con azadones para darle continuidad a la buenas practicas agricolas y diversificacion de sus cultivos. y 10 familias  para  el enriquecimiento  de sus parcelas de Chapin Arriba  de seguimiento .</t>
  </si>
  <si>
    <t>67 familias de Santa Rosa Balandra, Balandra, Buena Vista, Chapín Arriba y Mirador implementan prácticas de restauración en 46 hectáreas, mejorando la cobertura vegetal y fortaleciendo la resiliencia del paisaje ante eventos climáticos extremos. Se busca que las familias implementen prácticas de restauración productiva y ecológica en sus parcelas, a través de sistemas agroforestales con planes de finca que aumenten la cobertura vegetal, con especies nativas y adaptadas. Estas acciones permitirán conservar suelos, mitigar el riesgo de incendios y fortalecer la resiliencia del paisaje frente a los efectos del cambio climático.</t>
  </si>
  <si>
    <t>52 familias implementan SAF y 20 familias se encuentran trabajando SAF con plan de finca</t>
  </si>
  <si>
    <t xml:space="preserve"> 30 familias cuentan con plan de finca</t>
  </si>
  <si>
    <t>Se brindó seguimiento técnico a 10 familias que cuentan con plan de finca, específicamente en aspectos relacionados con cosecha y manejo postcosecha, como parte del fortalecimiento productivo.</t>
  </si>
  <si>
    <t xml:space="preserve">Se brinda seguimiento a  10 planes de finca  de la comunidad de Santa Rosa Balandra . Se trabajo con las familias que ya  cuentan proceso de produccion de cacao,  en el tema de poscosecha de ha dado seguimiento a los acopios  que han sido 6 en total </t>
  </si>
  <si>
    <t>68 familias de Santa Rosa Balandra, Balandra, Buena Vista, Chapín Arriba y Mirador implementan prácticas de restauración en 46 hectáreas, mejorando la cobertura vegetal y fortaleciendo la resiliencia del paisaje ante eventos climáticos extremos. Se busca que las familias implementen prácticas de restauración productiva y ecológica en sus parcelas, a través de sistemas agroforestales con planes de finca que aumenten la cobertura vegetal, con especies nativas y adaptadas. Estas acciones permitirán conservar suelos, mitigar el riesgo de incendios y fortalecer la resiliencia del paisaje frente a los efectos del cambio climático.</t>
  </si>
  <si>
    <t>Porcentaje de áreas agroforestales con medidas activas de prevención de incendios forestales</t>
  </si>
  <si>
    <t>64% del porcentaje de áreas agroforestales tienen medidas activas de prevención de incendios forestales</t>
  </si>
  <si>
    <t>Aumentar en un 25% de familias   sistemas agroforestales con medidas activas de prevención de incendios forestales</t>
  </si>
  <si>
    <t xml:space="preserve"> Las familias 5% inician con el proceso de realización de brechas contra fuego</t>
  </si>
  <si>
    <t>Durante este trimestre, se brindó acompañamiento técnico a comunitarios en la comunidad de Santa Rosa Balandra, enfocado en la implementación de brechas corta fuego como medida preventiva ante posibles incendios forestales cercanos. Estas acciones han contribuido a fortalecer las capacidades locales en la prevención y mitigación de riesgos, promoviendo la protección de los sistemas agroforestales</t>
  </si>
  <si>
    <t>69 familias de Santa Rosa Balandra, Balandra, Buena Vista, Chapín Arriba y Mirador implementan prácticas de restauración en 46 hectáreas, mejorando la cobertura vegetal y fortaleciendo la resiliencia del paisaje ante eventos climáticos extremos. Se busca que las familias implementen prácticas de restauración productiva y ecológica en sus parcelas, a través de sistemas agroforestales con planes de finca que aumenten la cobertura vegetal, con especies nativas y adaptadas. Estas acciones permitirán conservar suelos, mitigar el riesgo de incendios y fortalecer la resiliencia del paisaje frente a los efectos del cambio climático.</t>
  </si>
  <si>
    <t>Número de familias capacitadas en buenas prácticas biodiversas para SAF</t>
  </si>
  <si>
    <t>20 familias capacitadas en buenas prácticas biodiversas para SAF</t>
  </si>
  <si>
    <t>35 familias capacitadas en buenas prácticas biodiversas para SAF</t>
  </si>
  <si>
    <t>Se a creado un plan de capacitaciones de buenas practicas agricolas que consta de seis modulos .</t>
  </si>
  <si>
    <t>Se desarrolló el Módulo I y  II del plan , abordando temas relacionados con la construcción y ubicación de viveros, así como el establecimiento de Sistemas Agroforestales (SAF).
se ha capacitado a 45 beneficiarios vinculados a sistemas agroforestales,  Este avance refleja un alto interés y participación por parte de las comunidades, así como un fortalecimiento en sus capacidades para la implementación de prácticas sostenible.</t>
  </si>
  <si>
    <t>10 familias en Santa Rosa Balandra, Chapín Arriba y Balandra establecen jardines florales multipropósito que fortalecen la producción apícola, diversifican los medios de vida y aumentan la conectividad ecológica. Se han establecido 10 jardines florales multipropósitos con enfoque ecológico y productivo, que contribuyen al aumento de la producción apícola como medio de vida y que integran especies melíferas que favorecen la polinización que aportan a la conectividad ecológica.</t>
  </si>
  <si>
    <t>Número de familias que establecen jardines florales multipropósito.( base de datos)</t>
  </si>
  <si>
    <t>0 (cero) familias con jardines florales</t>
  </si>
  <si>
    <t>10 familias con jardines florales</t>
  </si>
  <si>
    <t xml:space="preserve"> 1 reunion para la socializacion  , identifacacion de nuevos beneficiarios para la implementacion de jardines florales.</t>
  </si>
  <si>
    <t>Se cuenta con una base de datos de 12 familias que estan inmersas   en el proceso  del proyecto en la implementcion de jardines florales,</t>
  </si>
  <si>
    <t>11 familias en Santa Rosa Balandra, Chapín Arriba y Balandra establecen jardines florales multipropósito que fortalecen la producción apícola, diversifican los medios de vida y aumentan la conectividad ecológica. Se han establecido 10 jardines florales multipropósitos con enfoque ecológico y productivo, que contribuyen al aumento de la producción apícola como medio de vida y que integran especies melíferas que favorecen la polinización que aportan a la conectividad ecológica.</t>
  </si>
  <si>
    <t>Numero de jardines florales implementados que apoyan activamente la producción apícola que contribuyen a la conectividad del paisaje.</t>
  </si>
  <si>
    <t>0 (cero) jardines florales implementados</t>
  </si>
  <si>
    <t xml:space="preserve">10 hectareas de jardines florales implementadas </t>
  </si>
  <si>
    <t xml:space="preserve"> 1 Reunión para la identificacion de especies florales  y meliferas para implementacion de jardines florares</t>
  </si>
  <si>
    <t>se hizo entrega de una libra de gandul para cada beneficiario para la implementacion de jardines florales y como tambien se llevo acabo un  inventario para conocer  las especie florales en sus parcelas .</t>
  </si>
  <si>
    <t>12 familias en Santa Rosa Balandra, Chapín Arriba y Balandra establecen jardines florales multipropósito que fortalecen la producción apícola, diversifican los medios de vida y aumentan la conectividad ecológica. Se han establecido 10 jardines florales multipropósitos con enfoque ecológico y productivo, que contribuyen al aumento de la producción apícola como medio de vida y que integran especies melíferas que favorecen la polinización que aportan a la conectividad ecológica.</t>
  </si>
  <si>
    <t>Número de familias capacitadas en manejo de sistemas apícola e implementación de jardines florales</t>
  </si>
  <si>
    <t>5 familias capacitadas en manejo de sistemas apícolas</t>
  </si>
  <si>
    <t>10 familias capacitadas en manejo de sistemas apícola e implementación de jardines florales</t>
  </si>
  <si>
    <t>1 capacitación  de apicultura sobre manejo e implementación de apicultura  (Participaron 10 familias)</t>
  </si>
  <si>
    <t>Se brindaron dos capacitaciones en temas de Identificación de especies florales para el pecoreo apícola  participaron 12 beneficiarios y Control de plagas y enfermedades, manejo  en pre y post cosecha de miel  participaron 25 personas .</t>
  </si>
  <si>
    <t>70 pescadores asociados a Guaritas diseñan e implementan un modelo de área de recuperación pesquera para conservar zonas de reproducción, reducir la pesca incidental y promover prácticas pesqueras sostenibles en el Lago de Izabal. Se espera que, mediante procesos participativos y acuerdos comunitarios, se establezca una zona piloto de recuperación pesquera, con criterios ecológicos y sociales que aseguren su viabilidad. Esta área estará orientada a reducir la presión pesquera, especialmente la ejercida por técnicas no sostenibles como los jaladores y a conservar especies clave del ecosistema dulceacuícola.</t>
  </si>
  <si>
    <t>Numero de áreas de recuperación pesquera para conservar zonas de reproducción implementadas</t>
  </si>
  <si>
    <t>0 (cero) áreas de recuperación implementadas</t>
  </si>
  <si>
    <t>1 área de recuperación pesquera para conservar zonas de reproducción.</t>
  </si>
  <si>
    <t xml:space="preserve">1 Socializacion y reunión con pescadores  para darle a conocer la SBN  de area de recuperacion pesquera 1. Capacitación Área de recuperación pesquera: qué es y por qué nos beneficia. </t>
  </si>
  <si>
    <t xml:space="preserve">Se han realizado un total de 5 talleres que sirvieron para el diagnóstico inicial y el diseño participativo del ARP. Se definió con la comunidad Definir  la ubicación del área, se delimitó en mapas y se identificaron hábitats con criterios ecológicos clave que podrían funcionar para el establecimiento de la zona. El próximo paso será georeferenciar la zona, realizar monitoreos biológicos y establecer los reglamentos internos del ARP junto con la comunidad. </t>
  </si>
  <si>
    <t>71 pescadores asociados a Guaritas diseñan e implementan un modelo de área de recuperación pesquera para conservar zonas de reproducción, reducir la pesca incidental y promover prácticas pesqueras sostenibles en el Lago de Izabal. Se espera que, mediante procesos participativos y acuerdos comunitarios, se establezca una zona piloto de recuperación pesquera, con criterios ecológicos y sociales que aseguren su viabilidad. Esta área estará orientada a reducir la presión pesquera, especialmente la ejercida por técnicas no sostenibles como los jaladores y a conservar especies clave del ecosistema dulceacuícola.</t>
  </si>
  <si>
    <t>Porcentaje de reducción en el uso de redes de arrastre dentro y alrededor del área de recuperación pesquera</t>
  </si>
  <si>
    <t>100% en uso de redes de arrastre</t>
  </si>
  <si>
    <t>Reducción del 50% en el uso de redes de arrastre dentro y alrededor del área de recuperación pesquera.</t>
  </si>
  <si>
    <t xml:space="preserve">En proceso </t>
  </si>
  <si>
    <t xml:space="preserve">Estamos en proceso de crear el reglamento interno para el área de recuperación pesquera, en el cuál se piensa establecer la prohibición de redes de arrastre dentro de la zona. </t>
  </si>
  <si>
    <t>72 pescadores asociados a Guaritas diseñan e implementan un modelo de área de recuperación pesquera para conservar zonas de reproducción, reducir la pesca incidental y promover prácticas pesqueras sostenibles en el Lago de Izabal. Se espera que, mediante procesos participativos y acuerdos comunitarios, se establezca una zona piloto de recuperación pesquera, con criterios ecológicos y sociales que aseguren su viabilidad. Esta área estará orientada a reducir la presión pesquera, especialmente la ejercida por técnicas no sostenibles como los jaladores y a conservar especies clave del ecosistema dulceacuícola.</t>
  </si>
  <si>
    <t>Numero de equipos de jaladores que intervienen en el área propuesta</t>
  </si>
  <si>
    <t>8 equipos de jaladores realizan practica de pesca ilegal en el área</t>
  </si>
  <si>
    <t xml:space="preserve">En este proceso aun nose identificado porque aun  estamos  en la parte de implementacion </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</si>
  <si>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</si>
  <si>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</si>
  <si>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</si>
  <si>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</si>
  <si>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</si>
  <si>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</si>
  <si>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</si>
  <si>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</si>
  <si>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15 hectáreas establecidas bajo sistemas agroforestales diversificados con participación activa de las familias locales. Las familias que implementen nuevos sistemas agroforestales lo hacen con base en sus planes de finca. Estos sistemas incorporaran especies productivas, nativas, aumentando la cobertura vegetal, promoviendo la diversificación, la seguridad alimentaria, la conservación de suelo y la resiliencia climática.</t>
  </si>
  <si>
    <t>Número de hectáreas nuevas establecidas con sistemas agroforestales con plan de finca</t>
  </si>
  <si>
    <t>15 hectáreas establecidas con sistemas agroforestales con plan de finca</t>
  </si>
  <si>
    <t>15 hectáreas establecidas con Sistemas agroforestales con plan de finca</t>
  </si>
  <si>
    <t>Se ha  avanzado en la identificación de las áreas destinadas a la implementación de sistemas agroforestales y en el establecimiento de sombra, como actividades preparatorias previas a la implementación .</t>
  </si>
  <si>
    <t xml:space="preserve">Se han georefenciado 5 has  de SAFB   se a realizado el establecimento de  sistemas agroforestales </t>
  </si>
  <si>
    <t>16 hectáreas establecidas bajo sistemas agroforestales diversificados con participación activa de las familias locales. Las familias que implementen nuevos sistemas agroforestales lo hacen con base en sus planes de finca. Estos sistemas incorporaran especies productivas, nativas, aumentando la cobertura vegetal, promoviendo la diversificación, la seguridad alimentaria, la conservación de suelo y la resiliencia climática.</t>
  </si>
  <si>
    <t>Número de familias que implementan nuevos SAF</t>
  </si>
  <si>
    <t>0 (cero) familias que implementan nuevos SAF</t>
  </si>
  <si>
    <t>15 familias que implementan nuevos SAF</t>
  </si>
  <si>
    <t xml:space="preserve"> 21 familias implementan sistemas agroforestales (proceso )</t>
  </si>
  <si>
    <t>21 familias recibieron semilla de gandul para el proceso de diversificación en sus parcelas , con el fin de establecer sombra en los sistemas agroforestales. Esto permitirá que, al momento de sembrar el cacao, ya se cuente con condiciones adecuadas de sombra que contribuyan a su desarrollo</t>
  </si>
  <si>
    <t>31 hectáreas de SAF existentes son intervenidas mediante prácticas de enriquecimiento con especies productivas y de servicio. A través del enriquecimiento, se mejora la diversidad funcional y productiva de los SAF existentes, incrementando el número de especies presentes. Esto contribuirá al incremento de ingresos, la provisión de servicios ecosistémicos y la sostenibilidad de los sistemas.</t>
  </si>
  <si>
    <t>Número de familias que obtienen ingresos a través de la mejora de los SAFs</t>
  </si>
  <si>
    <t>15 familias ya reciben ingresos provenientes de los SAF</t>
  </si>
  <si>
    <t>31 familias obtienen ingresos provenientes de los SAF</t>
  </si>
  <si>
    <t>20 familias  incian el proceso de comercializacion de cacao en baba  en mes de  diciembre.</t>
  </si>
  <si>
    <t>Actualmente se tiene  la base de datos de 10 familias  que han comercializado el cacao en baba cosecha 2025-2026</t>
  </si>
  <si>
    <t>32 hectáreas de SAF existentes son intervenidas mediante prácticas de enriquecimiento con especies productivas y de servicio. A través del enriquecimiento, se mejora la diversidad funcional y productiva de los SAF existentes, incrementando el número de especies presentes. Esto contribuirá al incremento de ingresos, la provisión de servicios ecosistémicos y la sostenibilidad de los sistemas.</t>
  </si>
  <si>
    <t>Numero de hectáreas intervenidas mediante enriquecimiento</t>
  </si>
  <si>
    <t>0 (cero) hectáreas intervenidas con enriquecimiento</t>
  </si>
  <si>
    <t>31 hectáreas intervenidas con enriquecimiento con especies productivas y de servicio</t>
  </si>
  <si>
    <t xml:space="preserve"> Se han realizado entregas  a 25 familias con plantas forestales y frutales  para enrequecimiento  de sus parcelas . </t>
  </si>
  <si>
    <t>Estamos en proceso de monitoreo para evaluar la sobrevivencia de plantas en campo , asi tambien se tiene planta forestal en produccion .</t>
  </si>
  <si>
    <t>33 hectáreas de SAF existentes son intervenidas mediante prácticas de enriquecimiento con especies productivas y de servicio. A través del enriquecimiento, se mejora la diversidad funcional y productiva de los SAF existentes, incrementando el número de especies presentes. Esto contribuirá al incremento de ingresos, la provisión de servicios ecosistémicos y la sostenibilidad de los sistemas.</t>
  </si>
  <si>
    <t>Número de especies introducidas para enriquecimiento</t>
  </si>
  <si>
    <t>SAF existentes que contienen al menos 10 especies</t>
  </si>
  <si>
    <t>SAF existentes que contienen al menos 15 especies introducidas ( corto ,mediano plazo y corto Plazo)</t>
  </si>
  <si>
    <t>Se realizó la entrega de plantas forestales para enriquecimiento, incluyendo Santa María, cedro, caoba, matilisguate, palo blanco y, así como especies frutales como mandarina, limón persa y criollo, naranja y plátano, destinadas a sistemas agroforestales existentes.</t>
  </si>
  <si>
    <t>Seguimiento a 10 familias con SAF establecidos y se integrarán 21 nuevas familias en las comunidades de Buena Vista, Chapín Arriba y Santa Rosa Balandra. Mediante la introducción de gandul como especie de enriquecimiento, se contribuye al incremento del número de especies en los SAF existentes, fortaleciendo su diversidad en el corto y mediano plazo.”</t>
  </si>
  <si>
    <t>10 jardines florales multipropósito establecidos por familias para fortalecer la apicultura y la conectividad ecológica. Se espera que las 10 familias establezcan 1 jardín floral multipropósito con especies nativas los cuales serán diseñados e implementados con acompañamiento técnico y participación activa de las familias fortaleciendo el vínculo comunitario con la restauración ambiental.</t>
  </si>
  <si>
    <t>Número de jardines florales diseñados, establecidos y mantenidos por las familias.</t>
  </si>
  <si>
    <t>0 (cero) jardines florales.</t>
  </si>
  <si>
    <t>10  asistencias tecnicas en jardines florales</t>
  </si>
  <si>
    <t>Las familias beneficiarias identificaron las áreas destinadas para la implementación de jardines florales y nuevos apiarios, correspondientes a cinco familias priorizadas en esta fase inicial.</t>
  </si>
  <si>
    <t>Actualmente, se han brindado tres asistencias técnicas en apiarios de las comunidades El Mirador y Buena Vista, enfocadas en el fortalecimiento de capacidades de nuevos apicultores.</t>
  </si>
  <si>
    <t>11 jardines florales multipropósito establecidos por familias para fortalecer la apicultura y la conectividad ecológica. Se espera que las 10 familias establezcan 1 jardín floral multipropósito con especies nativas los cuales serán diseñados e implementados con acompañamiento técnico y participación activa de las familias fortaleciendo el vínculo comunitario con la restauración ambiental.</t>
  </si>
  <si>
    <t>Numero de botellas de miel producidas por cada colmena</t>
  </si>
  <si>
    <t>Producción promedio de 15 botellas por colmenas.</t>
  </si>
  <si>
    <t>Producción promedio de 18 botellas por colmenas</t>
  </si>
  <si>
    <t>Se  ha realizado 1 monitoreo para conocer el estado actual de las colmenas y alimetacion para la producciones de año 2026 . Se logro una gestion en coordinacion con MAGA/DIFOPROCO  , botellas de miel y canecas para las 10 familias involucradas</t>
  </si>
  <si>
    <t>En esta temporada no fue posible cosechar miel debido a la variabilidad climática. Por ello, se prevé que la cosecha se realice a finales de abril e inicios de mayo.</t>
  </si>
  <si>
    <t>5 nuevas familias implementan sistemas apícolas vinculados a jardines florales. Se ha fortalecido la capacidad productiva y diversificado los medios de vida de 5 familias nuevas mediante la implementación de sistemas apícolas vinculados a jardines florales multipropósito</t>
  </si>
  <si>
    <t>Numero de nuevas familias que implementan sistemas apícolas como medio de vida</t>
  </si>
  <si>
    <t>5 familias implementan sistemas apícolas</t>
  </si>
  <si>
    <t>5 familias fortalecidas implementando sistemas apícolas con jardines florales y 5 familias de seguimiento  de sistema apicola  que implementan jardines florales</t>
  </si>
  <si>
    <t>Diez familias han participado en procesos de capacitación para el manejo e implementación de sistemas apícolas, fortaleciendo sus capacidades técnicas como paso previo a la implementación productiva.</t>
  </si>
  <si>
    <t>Se fortaleció a 12 apicultores mediante la entrega de equipo apícola (guantes, ahumadores, cepillos, espátulas), cera estampada (8 libras por beneficiario) , 2 alzas por apicultor y un total de 20 colmenas. De este grupo, en seguimiento en la implementación de estos sistemas.</t>
  </si>
  <si>
    <t>Un área piloto de recuperación pesquera es delimitada físicamente y validada mediante acuerdo comunitario firmado por 70 pescadores asociados a Guaritas. Área piloto de recuperación pesquera diseñada y establecida con participación de 70 pescadores sobre la base de criterios ecológicos y sociales.</t>
  </si>
  <si>
    <t>Numero de hectáreas delimitadas como áreas de recuperación pesquera.</t>
  </si>
  <si>
    <t>1 (cero) áreas de recuperación implementadas</t>
  </si>
  <si>
    <t>1 modelo de 35 hectáreas delimitadas para recuperación pesquera.</t>
  </si>
  <si>
    <t>Durante una reunión participativa se realizó la identificación preliminar del área propuesta para la implementación del modelo de recuperación pesquera, encontrándose actualmente en fase de análisis y validación .</t>
  </si>
  <si>
    <t>Se identificó preliminarmente el área de intervención, actualmente en fase de análisis y validación. Además, se ha diseñado la implementación en tres puntos estratégicos como áreas de recuperación pesquera, integrando los conocimientos generados durante el proceso.”</t>
  </si>
  <si>
    <t>Numero de pescadores que se involucran en la implementación de áreas de recuperación pesquera</t>
  </si>
  <si>
    <t>0 (cero) pescadores involucrados</t>
  </si>
  <si>
    <t>70 pescadores involucrados en la delimitación de áreas de recuperación pesquera incluyendo la participación activa de mujeres y jóvenes</t>
  </si>
  <si>
    <t>Se cuenta con una base de datos de pescadores involucrados en el proceso, quienes participan en actividades de capacitación y socialización. Asimismo, se coordinó una reunión con FUNDAECO con experiencia en recuperación pesquera para el intercambio de aprendizajes con los pescadores, como insumo para la futura implementación. se cuenta con un plan de capacitaciones para el fortalecimiento de capacidades .</t>
  </si>
  <si>
    <t>Se cuenta con un listado de 120 pescadores, mujeres y jovenes  que han participado en  el proceso de formacion  y actividades desarrolladas en la comunidad de Guaritas .</t>
  </si>
  <si>
    <t xml:space="preserve">Número de capacitaciones  sobre recuperación pesquera </t>
  </si>
  <si>
    <t>9 capacitaciones dirigidas a pescadores en tema área de recuperación pesquera</t>
  </si>
  <si>
    <t>Se   se inicia el proceso de capacitaciones dirigido a pescadores en el tema Área de recuperación pesquera: qué es y por qué nos beneficia.</t>
  </si>
  <si>
    <t>Se realizaron cinco talleres orientados al fortalecimiento del diseño y la comprensión de temas clave relacionados con las Áreas de Recuperación Pesquera. En estos espacios se abordaron contenidos como la importancia y beneficios de estas áreas, la normatividad pesquera y la pesca responsable, así como el mapeo comunitario de hábitats críticos. Además, mediante metodologías participativas, se identificaron zonas de reproducción, hábitats clave y áreas de presión pesquera, y se avanzó en el diseño y la delimitación de las zonas, incorporando criterios ecológicos. Se lleva a cabo  la gira de intercambio de experiencia  Zonas de recuperacion pesquera en comunidades de Rio dulce y Sarstun Livingston 22 comunitairos 11 hombres y 11 mujeres en fortalecer las capacidades organizativas y técnicas de los pescadores participantes, mediante el intercambio directo con comunidades que cuentan con Zonas de Recuperación Pesquera (ZRP) en funcionamiento.</t>
  </si>
  <si>
    <t>Numero de salidas de campo de monitoreo  de area de recuperacion pesquera</t>
  </si>
  <si>
    <t>3 monitoreos con pescadores en área de recuperación pesquera</t>
  </si>
  <si>
    <t xml:space="preserve">Mediante un recorrido participativo para la delimitación de la Zona de Recuperación Pesquera, el área fue definida y validada con la comunidad. Con este avance, se da paso a la planificación de monitoreos orientados a verificar el cumplimiento de los criterios necesarios para su consolidación como Área de Recuperación Pesquera. </t>
  </si>
  <si>
    <t xml:space="preserve">CORPORACIÓN TOISAN </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</si>
  <si>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</si>
  <si>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</si>
  <si>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</si>
  <si>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</si>
  <si>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</si>
  <si>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</si>
  <si>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</si>
  <si>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</si>
  <si>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Mejorada la fertilidad de suelos con apoyo de microorganismos de montaña</t>
  </si>
  <si>
    <t>Número de productores utilizando microorganismos de montaña para la mejora de la fertilidad de suelo</t>
  </si>
  <si>
    <t>10 productores utilizando microorganismos de montaña</t>
  </si>
  <si>
    <t>70 productores utilizando microorganismos de montaña</t>
  </si>
  <si>
    <t>En microcuenca del río Cristopamba (biofábricas - San Joaquín y la Loma) se encuentran utilizando para elaboración de compost estáticos; en la microccuenca del río Aguagrún para elaboración de bocashi de aplicación inmediata y acelerar la descomposición de materia orgánica; en la del río Chalguayaco para elaboración de bocashi</t>
  </si>
  <si>
    <t xml:space="preserve">Con la participación de 68 actores de cambio (41 hombres y 27 mujeres), se han activado siete biofábricas campesinas: tres en la microcuenca del río Cristopamba, una en Aguagrún, una en Chalguayacu y dos en la microcuenca del río Magdalena.
En estas biofábricas se emplean microorganismos de montaña provenientes de bosques primarios de cada microcuenca, los cuales, a través de su multiplicación y activación, permiten la elaboración de bioinsumos como abonos sólidos fermentados (compost estático y bocashi) y biofertilizantes quelatizados, contribuyendo a la mejora de la fertilidad del suelo. Se complementara con 7 talleres en cada una de las biofabricas para finales de Agosto se estaria reportando el dato final. </t>
  </si>
  <si>
    <t>Fortalecida la implementación y manejo de sistemas silvopastoriles con apoyo de energías renovables</t>
  </si>
  <si>
    <t>Número de sistemas silvopastoriles fortalecidos</t>
  </si>
  <si>
    <t>0 (medidas aún no implementadas)</t>
  </si>
  <si>
    <t>60 productores ven fortalecidos sus sistemas silvopastoriles</t>
  </si>
  <si>
    <t>Con los puntos focales se está aclarando que no son solo árboles maderables, sino también fuentes de forraje y proteína, al momento se ha seleccionado las especies por microcuencas y se encuentra en el proceso administrativo para la adquisición; además con puntos focales se a seleccionado los actores de cambio donde se instalará las cercas eléctricas con paneles solares que ya han sido adquiridas.</t>
  </si>
  <si>
    <t xml:space="preserve">Se han entregado plantas forestales para sistemas silvopastoriles en las cinco microcuencas del ACUSMIT. Actualmente, se continúa con el acompañamiento técnico para su siembra y, una vez establecidas, se procederá con el proceso de georreferenciación.
Adicionalmente, se encuentra en marcha el acompañamiento y la adecuación de espacios para la instalación de 10 cercas eléctricas con panel solar. Hasta el momento, se ha instalado una cerca eléctrica en la microcuenca del río Nangulví. </t>
  </si>
  <si>
    <t>Fortalecidos sistemas de agroforestería de 5 microcuencas del ACUSMIT</t>
  </si>
  <si>
    <t>Número de sistemas de agroforestería que han sido fortalecidos en estos dos últimos años</t>
  </si>
  <si>
    <t>10 sistemas de agroforestería fortalecidos</t>
  </si>
  <si>
    <t>70 sistemas de agroforestería fortalecidos</t>
  </si>
  <si>
    <t>Con los puntos focales se ha seleccionado las especies de frutales y nos encontramos al momento en el proceso administrativo para la adquisición; de los 10 sistemas de cosechas de agua uno ya se a instalado en la microcuenca del río Chalguayaco; así mismo se realizó el programa de formación en diseño keyline</t>
  </si>
  <si>
    <t>Se han entregado plantas frutales para sistemas agroforestales en las cinco microcuencas. Actualmente, se continúa con el acompañamiento técnico para su siembra y, una vez concluido este proceso, se procederá con la georreferenciación de las mismas.
Asimismo, se han implementado cinco sistemas de cosecha de agua lluvia con técnica de ferrocemento en tres microcuencas: Chalguayacu, Cristopamba y Nangulví. De manera paralela, se avanza en el proceso de excavación para la construcción de cuatro sistemas adicionales en las microcuencas Aguagrún y Magdalena.
La ejecución del curso sobre sistemas de cosecha de agua con técnica de ferrocemento ha permitido fortalecer capacidades locales, lo que derivó en la contratación de una persona de la zona de Intag encargada de la construcción e implementación de estos sistemas. Este proceso ha contribuido a que los conocimientos permanezcan en el territorio y puedan ser replicados por más personas.
Adicionalmente, durante cada proceso de cosntrucción, la persona responsable no solo ejecuta la obra, sino que también capacita a jóvenes de la localidad y a los propios actores de cambio, transmitiendo conocimientos sobre el funcionamiento, la utilidad de los estanques y la técnica de construcción. De esta manera, la implementación de los sistemas promueve la transferencia de saberes en un efecto cascada, ya que en cada nueva construcción se forman nuevos aprendices, fortaleciendo las capacidades locales y la sostenibilidad de la iniciativa.</t>
  </si>
  <si>
    <t>Fortalecido programa de monitoreo y vigilancia para detección temprana de riesgos y amenazas a ecosistemas y servicios ecosistémicos</t>
  </si>
  <si>
    <t>Número de programas de monitoreo y vigilancia en las 5 microcuencas consolidado</t>
  </si>
  <si>
    <t>1 programa iniciado</t>
  </si>
  <si>
    <t>1 programa de monitoreo ecosistémico y hábitat consolidado</t>
  </si>
  <si>
    <t>Desarrollado un plan de monitoreo por microcuenca que incluye monitoreo de captaciones de agua (cobertura forestal, caudal, beneficiarios e identificación de conflictos sociales y ambientales)</t>
  </si>
  <si>
    <t>Las jornadas de monitoreo se planifican conforme al plan establecido para el grupo de jóvenes monitores locales, siguiendo un cronograma definido para cada microcuenca. En total, se han programado 120 jornadas de monitoreo. Es importante señalar que, en algunas ocasiones, estas actividades han debido suspenderse debido a condiciones climáticas adversas; sin embargo, gracias a la adecuada coordinación del equipo, se han realizado los ajustes necesarios en el cronograma para garantizar el cumplimiento de lo previsto en el plan de monitoreo.
Adicionalmente, se han venido ejecutando otras jornadas de monitoreo en las microcuencas del ACUSMIT con el cofinanciamiento de otras subvenciones, lo que ha permitido articular esfuerzos entre proyectos y ampliar la cobertura territorial del monitoreo. En este contexto, las actividades financiadas por el proyecto piloto PARES iniciaron en el mes de febrero, fortaleciendo el seguimiento en territorio y contribuyendo a una mayor generación de información en las microcuencas donde interviene el proyecto PARES.</t>
  </si>
  <si>
    <t>Cuerpos hídricos restaurados y mejorados su funcionabilidad con sistemas alternativos de gestión de aguas residuales</t>
  </si>
  <si>
    <t>Número de intervenciones prácticas para recuperación de funcionabilidad de cuerpos hídricos</t>
  </si>
  <si>
    <r>
      <rPr>
        <rFont val="Arial"/>
        <color rgb="FF000000"/>
        <sz val="11.0"/>
      </rPr>
      <t xml:space="preserve">35 intervenciones </t>
    </r>
    <r>
      <rPr>
        <rFont val="Arial"/>
        <color rgb="FF000000"/>
        <sz val="11.0"/>
      </rPr>
      <t>prácticas  para 
recuperación de funcionabilida de cuerpos hídricos</t>
    </r>
  </si>
  <si>
    <t>Se han implementado un total de 3 sistemas de biodigestores en las microcuencas de los ríos Chalguayacu, Magdalena y Cristopamba, contribuyendo a la restauración de los cuerpos hídricos. Adicionalmente, se implementó un sistema de vermifiltro en la microcuenca del río Chalguayacu.
Se continúa trabajando en la implementación de las Soluciones basadas en la Naturaleza (SbN) en las demás microcuencas.</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</si>
  <si>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</si>
  <si>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</si>
  <si>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</si>
  <si>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</si>
  <si>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t>Meta</t>
  </si>
  <si>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</si>
  <si>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</si>
  <si>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</si>
  <si>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</si>
  <si>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Biofábricas instaladas y fortalecidas</t>
  </si>
  <si>
    <t>Número de biofábricas consolidadas</t>
  </si>
  <si>
    <t>4 biofábricas instaladas</t>
  </si>
  <si>
    <t>7 biofábricas instaladas y consolidades</t>
  </si>
  <si>
    <t>Se han desarrollado diagnósticos y se está en proceso administrativo para adquisición de insumos y materiales, para las existentes y las nuevas; el 17 de enero se inicia los talleres en la nueva biofábrica en la microcuenca del río Chalguayaco, se tiene 12 personas inscritas; la semana del 19 con las nuevas biofábricas de la microcuenca del río Magdalena, en esta microcuenca Corporación para la Investigación y Protección de los Bosques de los Andes Tropicales (CIPBAT), son el punto focal y también trabajará en esta área en el año 2026 y 2027</t>
  </si>
  <si>
    <t>Hasta la fecha se han desarollado 14 talleres en las biofabricas: en la microcuenca del río Cristopamba (1 en biof San Joaquin, 1 biof La Loma y 3 en biof Playa Rica), en la microcuenca río Aguagrun 2, en la microcuenca río Chalguayacu 2 y en la microcuenca río Magdalena (Bif Magdalena Alto 2 y en la biof Brillasol 3). Se han adquirido los materiales e insumos necesarios para la creación de tres biofábricas, ubicadas en la microcuenca del río Magdalena: dos en las comunidades de Brillasol y Magdalena Alto. Se han planificado los talleres y la entrega de insumos de manera conjunta con CIPBAT, punto focal de la microcuenca, quienes también desarrollan acciones para el fortalecimiento de estas dos biofábricas.
Adicionalmente, se entregaron materiales e insumos para el fortalecimiento de cuatro biofábricas ubicadas en otras microcuencas: tres en la microcuenca del río Cristopamba y una en la microcuenca del río Aguagrún. Asimismo, se adecuaron los espacios para el desarrollo de jornadas prácticas de elaboración de bioinsumos, en coordinación con los actores de cambio involucrados en las biofábricas.</t>
  </si>
  <si>
    <t>Ejecutado un programa de consolidación de conocimientos en producción y manejo de bioinsumos a partir de microrganismos de montaña</t>
  </si>
  <si>
    <t>Porcentaje de participantes que aplican bioinsumos elaborados a base de microorganismos de montaña</t>
  </si>
  <si>
    <t>10% de participantes aplican bioinsumos</t>
  </si>
  <si>
    <t>80% de participantes aplican bioinsumos</t>
  </si>
  <si>
    <t>18 productores que son partes de las biofábricas exustentes se encuentran utilizando bioinsumos fermentados: bocashi de aplicación inmediata y compost estático, que es adecuado para la época lluviosa que nos encontramos</t>
  </si>
  <si>
    <t>48  de los actores de cambio involucrados en las biofábricas se encuentran activos y aplicando los bioinsumos aprendidos durante los talleres teórico-prácticos, tales como caldo mineral de ceniza, agua de vidrio, recolección y multiplicación de microorganismos de montaña y elaboración de compost estático.</t>
  </si>
  <si>
    <t>Dotación de 20.000 plantas para fortalecimiento de sistemas de silvopastura</t>
  </si>
  <si>
    <t>Porcentaje de prendimiento de plantas entregadas para sistemas de silvopasturas</t>
  </si>
  <si>
    <t>0% (medidas aún no implementadas)</t>
  </si>
  <si>
    <t>80% de plantas sembradas se desarrollan adecuadamente</t>
  </si>
  <si>
    <t>Se encuentra en proceso administrativo las especies de plantas para silvopasturas que han sido seleccionadas con los puntos focales de las 5 microcuencas, se tien previsto iniciar las siembras a finales de enero del 2026</t>
  </si>
  <si>
    <t xml:space="preserve">Se han adquirido 20.000 plantas forestales de 17 especies, de las cuales ya se han entregado en las cinco microcuencas para fortalecer sistemas silvopastoriles, alcanzando hasta el momento un 80% de siembra. La georreferenciación se realizará una vez concluido este proceso, junto con la verificación de la supervivencia de las plantas. </t>
  </si>
  <si>
    <t>Cercas eléctricas con energía renovable solar implementadas para fortalecer manejo de sistema de silvopasturas</t>
  </si>
  <si>
    <t>Número de cercas eléctricas con energía renovable implementadas y en funcionamiento adecuado</t>
  </si>
  <si>
    <t>10 cercas eléctricas con energía renovable implementadas</t>
  </si>
  <si>
    <t>Las cercas eléctricas han sido adquiridas, con los puntos focales se encuentra seleccionando los actores de cambio en los que se instalará, se tiene establecido condiciones mínimas que el productor debe cumplir para ser considerado actor de cambio, esto respondo a una estrategia territorial conjunta que se viene impulsando desde la Corporación Toisán, 24 de enero es el encuentro de actores de cambio</t>
  </si>
  <si>
    <t xml:space="preserve">Se han adquirido 10 cercas eléctricas con panel solar, de las cuales una ya se encuentra instalada, anteriormente la Corporación Toisán  oferto un curso de instalaciones eléctricas donde varios jovenes se capacitaron, entre ellos se vio el talento local para la instalación de las cercas solares, permitiendo que las capacidades queden en territorio y puedan ser replicado en el mismo. </t>
  </si>
  <si>
    <t>Desarrolladas actividades de para fortalecimiento de sistemas de agroforestería</t>
  </si>
  <si>
    <t>Número de sistemas de agroforestería que incrementan diversidad productiva</t>
  </si>
  <si>
    <t>5 sistemas de agroforestería fortalecidos con diversidad productiva</t>
  </si>
  <si>
    <t>65 sistemas de agroforestería fortalecidos con diversidad productiva</t>
  </si>
  <si>
    <t>Se encuentra en proceso administrativo de adqusición las especies de plantas frutales que han sido seleccionadas con los puntos focales de las 5 microcuencas, se tien previsto iniciar las siembras a finales de enero del 2026</t>
  </si>
  <si>
    <t>Se han adquirido 3.820 plantas forestales de 23 especies, las cuales han sido entregadas a 3.820 productores/as (41 hombres y 25 mujeres) para fortalecer sistemas de agroforestería. Actualmente, se encuentra en proceso el acompañamiento técnico para la siembra, una vez finalizado esta etapa se procedera a georreferenciarn las plantas establecidas.</t>
  </si>
  <si>
    <t>Número de sistemas de cosecha de agua instalados y funcionando</t>
  </si>
  <si>
    <t>1 sistema de cosecha de agua instalado</t>
  </si>
  <si>
    <t>11 sistemas de cosecha de agua instalados</t>
  </si>
  <si>
    <t>Se encuentra en proceso administrativo las especies de plantas frutales que han sido seleccionadas con los puntos focales de las 5 microcuencas, se tien previsto iniciar las siembras a finales de enero del 2026</t>
  </si>
  <si>
    <t>Al finalizar el programa de formación en cosecha de agua lluvia para riego, se inició el proceso de caracterización de los sitios donde se implementarán los sistemas de cosecha de agua con técnica de ferrocemento.
Una vez realizada esta caracterización, se procedió a la construcción de los sistemas, condicionada a la finalización de las excavaciones, las cuales constituyen la contraparte de los actores de cambio para dar inicio a la construcción de los estanques.
Hasta la fecha, se han construido 6 sistemas, lo que representa un 60% de avance respecto a lo planificado.</t>
  </si>
  <si>
    <t>Metros de línea keyline implementados</t>
  </si>
  <si>
    <t>100 metros de línea keyline implementados</t>
  </si>
  <si>
    <t>3100 metros de línea keyline implementados</t>
  </si>
  <si>
    <t>Se a cumplido el programa de formación en diseño hidrológico keyline, los conocimientos han sido fortalecidos y con los puntos focales se ha iniciado el proceso de motivación en las microcuencas para las réplicas, ya se tiene en compromiso de dieñar 200 m en la mocrocuenca del río Magdalena y 300 en la microcuenca del río Aguagrún</t>
  </si>
  <si>
    <t>Una vez finalizado el programa de formación en diseño hidrológico y cosecha de agua de lluvia para riego familiar; en el diseño hidrológico se tuvo una participación de 13 actores de cambio (H 8 y M5), situación que ha permitido al momento instalar 1.046 de línea keyline, de las 3000 planificadas en el piloto, es decir el 0,05%por ciento de lo planificado.</t>
  </si>
  <si>
    <t>Número de sistemas de agroforestería que implementan sistemas de energía renovable</t>
  </si>
  <si>
    <t>1 sistema de agroforestería fortalecido con energía renovable</t>
  </si>
  <si>
    <t>11 sistemas de energía renovable instalados</t>
  </si>
  <si>
    <t>Con los puntos focales se encuentra seleccionando los actores de cambio en los que se instalará, Cinco sistemas de bombeo hídrico instalados y funcionando, Cinco sistemas de generación de energía alternativa, se tiene establecido condiciones mínimas que el productor debe cumplir para ser considerado actor de cambio, esto respondo a una estrategia territorial conjunta que se viene impulsando desde la Corporación Toisán. 24 de enero es el encuentro de actores de cambio para fortalecer las SbN, realizar la caracterización, diseño, construcción e instalación</t>
  </si>
  <si>
    <t>Se está llevando a cabo la caracterización de cinco sistemas de bombeo hídrico para riego familiar y cinco sistemas de hidrogeneración eléctrica mediante ruedas hidráulicas elaboradas con material reciclado. Este proceso incluye la identificación participativa de los actores de cambio que cumplen con los criterios establecidos (ANEXO D).
Esta iniciativa fortalece el trabajo previo de la Corporación Toisán y permite escalar de 10 a 21 soluciones basadas en la naturaleza (SbN) parciales dentro del proyecto PARES. Asimismo, gracias al apoyo de otras subvenciones, se ha logrado generar sinergias que han permitido ampliar el alcance e incrementar el número de estas SbN en el territorio.</t>
  </si>
  <si>
    <t>Programa de monitoreo y vigilancia, desarrollado con personal local, fortalecido</t>
  </si>
  <si>
    <t>Número de geo portales instalados y funcionando</t>
  </si>
  <si>
    <t>1 Geo portal instalado y en funcionamiento</t>
  </si>
  <si>
    <r>
      <rPr>
        <rFont val="Arial"/>
        <b/>
        <color theme="1"/>
        <sz val="11.0"/>
      </rPr>
      <t>Se encuentra con cierta demora</t>
    </r>
    <r>
      <rPr>
        <rFont val="Arial"/>
        <color theme="1"/>
        <sz val="11.0"/>
      </rPr>
      <t>, se cuenta con dos propuestas: 1) Guerra Torres Marcelo y Pablo David Coronada es de 6210 U.S.D. más IVA y 2) de  la Fundación  MAQUIPUCUNA que es de 4200 Incluido IVA, a más de ello ofrece licencia, capacitación y fortalecimiento de estructura organizacional y almacenamiento</t>
    </r>
  </si>
  <si>
    <t>Se ha gestionado el proceso administrativo para la construcción del GEOPORTAL, siendo la Fundación Maquipucuna la entidad seleccionada. Además del contrato, se firmó un convenio de colaboración (ANEXO E) para fortalecer su implementación.
El GEOPORTAL presenta un avance del 90%; no obstante, se extendió el plazo contractual en 57 días mediante una adenda, con el fin de ajustar detalles y garantizar un producto acorde a las necesidades del territorio.</t>
  </si>
  <si>
    <t>Número de jornadas de monitoreo y vigilancia desarrolladas con personal local</t>
  </si>
  <si>
    <t>20 jornadas de monitoreo y vigilancia desarrolladas con personal local</t>
  </si>
  <si>
    <t>140 jornadas de monitoreo y vigilancia desarrolladas con personal local</t>
  </si>
  <si>
    <t>Con el promotor ambiental, contratado a medio tiempo, se ha venido recolectando información para desarrollar un plan de monitoreo de las 5 microcuencas, al momento se encuentra conformando los equipos de monitoreo por cada microcuenca, para fortalecer este proceso se a instalado 3 estaciones meteorológicas (microcuenca de río Cristopamba, Aguagrún y Chalguayaco) de contraparte de otra subvención</t>
  </si>
  <si>
    <t>De las 120 jornadas de monitoreo previstas, se han ejecutado 34, lo que representa un avance del 28,3%. Estas actividades han permitido el seguimiento de 12 captaciones de agua para consumo humano, así como la evaluación de indicadores relacionados con el estado y funcionamiento de los ecosistemas, tales como caudales, diversidad biológica y cobertura vegetal.
Es importante destacar que, gracias al cofinanciamiento de otras subvenciones, se llevaron a cabo varias jornadas de monitoreo entre agosto de 2025 y enero de 2026, lo que permitió ampliar la cobertura hacia más territorios del ACUSMIT. A partir de febrero, se han utilizado los recursos del proyecto PARES, lo que contribuirá a continuar expandiendo el alcance del monitoreo en el territorio.</t>
  </si>
  <si>
    <t>Implementados sistemas alternativos para restauración de salud y funcionabilidad de cuerpos hídricos</t>
  </si>
  <si>
    <t>Número de sistemas de vermifiltros instalados y funcionando adecuadamente</t>
  </si>
  <si>
    <t>5 sistemas de vermifiltro instalados</t>
  </si>
  <si>
    <t>Se encuentra en proceso contratación, la semana del 20 de enero del 2026 se tiene previsto la visita de caracterización y diseño de dos vermifiltros y la última semana de enero la construcción; con los puntos focales se tiene elegidos 3 de 5 actores de cambio</t>
  </si>
  <si>
    <t>En el caso de los vermifiltros, se ha cumplido con la caracterización de los 5 sistemas previstos en el proyecto piloto; hasta el momento se ha implementado 1, lo que representa un avance del 20%.</t>
  </si>
  <si>
    <t>Número de biodigestores, instalados los dos últimos años, y funcionando adecuadamente</t>
  </si>
  <si>
    <t>1 biodigestor instalado</t>
  </si>
  <si>
    <t>6 biodigestores instalados</t>
  </si>
  <si>
    <t>Con los puntos focales se encuentra seleccionando los actores de cambio en los que se instalará cinco biodigestores, se tiene establecido condiciones mínimas que el productor debe cumplir para ser considerado actor de cambio, esto respondo a una estrategia territorial conjunta que se viene impulsando desde la Corporación Toisán. 24 de enero es el encuentro de actores de cambio para fortalecer las SbN, realizar la caracterización, diseño, construcción e instalación</t>
  </si>
  <si>
    <t>En cuanto a los biodigestores, como primer paso se realizó la caracterización de los 5 sistemas previstos en el proyecto piloto, lo que ha permitido la instalación de 4 de ellos, alcanzando un avance del 80%.
Este proceso se desarrolla con talento local, aprovechando estos espacios para capacitar a jóvenes de las microcuencas y fortalecer principios de manejo sostenible del recurso hídrico.</t>
  </si>
  <si>
    <t>Número de círculo de plátano instalados, en los dos últimos años, y funcionando adecuadamente</t>
  </si>
  <si>
    <t>1 círculo de plátano instalado</t>
  </si>
  <si>
    <t>26 círculos de plátanos instalados</t>
  </si>
  <si>
    <t>Se realizará a la par con los vermifiltros</t>
  </si>
  <si>
    <t>Se está promoviendo activamente la implementación de acuerdo a la necesidad real del actor de cambio, a medida que se realiza las visitas en campo se alaliza a los actores de cambio con necesidad real par implemntar y dar inicio con esta actividad. Este proceso se articula con el avance en la instalación de biodigestores, fortaleciendo un enfoque integral de manejo sostenible de los recursos.</t>
  </si>
  <si>
    <t xml:space="preserve">FUNDACIÓN TIERRA VIVA </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</si>
  <si>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</si>
  <si>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</si>
  <si>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</si>
  <si>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</si>
  <si>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</si>
  <si>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</si>
  <si>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</si>
  <si>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</si>
  <si>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Aumento de la retención relativa de humedad del suelo en el área de recarga hídrica del sistema de cosecha de agua</t>
  </si>
  <si>
    <t>Diferencia porcentual del índice relativo de humedad del suelo entre área de recarga intervenida y área sin intervención</t>
  </si>
  <si>
    <t>Incremento mínimo del 20% en el índice porcentual relativo de humedad del suelo en el área de recarga hídrica intervenida, en comparación con un terreno adyacente sin intervención, al finalizar el primer año de implementación del sistema de cosecha de agua lluvia y su asociación con especies forestales nativas.</t>
  </si>
  <si>
    <t xml:space="preserve">No se tienen reporte porque estamos en fase de implementación de las construcciones de las obras verdes. Se inició con los procesos de restauración.  </t>
  </si>
  <si>
    <t>Al momento del levantamiento de información, se registró una ausencia de precipitaciones durante los 4 días previos a la medición. Se comprobó además que la cobertura vegetal actual en el área intervenida es todavía baja, con predominio de distintos tipos de pastos propios de la zona y presencia de árboles previamente plantados con alturas aproximadas entre 30 y 50 cm. En estas condiciones, la diferencia en el índice porcentual relativo de humedad del suelo entre el área intervenida y el terreno adyacente sin intervención fue del 13% , valor que se encuentra por debajo de la meta establecida del 20% para el primer año. Este resultado sugiere que el sistema implementado aún se encuentra en una fase inicial de establecimiento, por lo que el efecto esperado sobre la retención de humedad del suelo podría incrementarse conforme avance el desarrollo de la cobertura forestal y se consolide la intervención.</t>
  </si>
  <si>
    <t>Aumento en la disponibilidad de agua para riego durante la temporada seca, contribuyendo al fortalecimiento de la diversificación productiva.</t>
  </si>
  <si>
    <t>% de incremento en el tiempo efectivo de riego por familia durante la temporada seca.</t>
  </si>
  <si>
    <t>1 hora de riego cada 3 días por familia durante la temporada seca</t>
  </si>
  <si>
    <t>Incremento mínimo del 15% en el tiempo efectivo de riego por familia durante la temporada seca al finalizar el primer año (10 min.)</t>
  </si>
  <si>
    <t xml:space="preserve">Todavía no está realizado  porque están en el proceso de construcción del reservorio. </t>
  </si>
  <si>
    <t>Hasta la fecha del monitoreo, no se ha realizado la entrega oficial del nuevo reservorio, debido a que previamente se requiere socializar y formalizar las indicaciones de uso con la persona responsable de la distribución del agua. En consecuencia, aún no es posible verificar el cumplimiento de la meta de incremento mínimo del 15% en el tiempo efectivo de riego por familia durante la temporada seca.
No obstante, se efectuó un levantamiento de información con las familias beneficiarias, en el que se identificó que el uso actual del agua para riego es heterogéneo. La frecuencia reportada varía entre 1 a 2 veces por semana y cada 15 días, mientras que el tiempo de riego por evento oscila entre 30 y 60 minutos, registrándose en algunos casos tiempos superiores a 4 horas. Además, las familias señalaron que la fuente de abastecimiento corresponde al reservorio existente. Esta variabilidad evidencia que, al momento del monitoreo, todavía no se cuenta con condiciones homogéneas de distribución que permitan establecer con precisión una comparación del tiempo efectivo de riego atribuible al nuevo reservorio.</t>
  </si>
  <si>
    <t>Aumento de la cobertura vegetal en la ribera de la quebrada seca de Ambuquí.</t>
  </si>
  <si>
    <t>% de incremento de la cobertura vegetal del suelo en la ribera de la quebrada seca de Ambuquí.</t>
  </si>
  <si>
    <t>Aumento mínimo del 40% en cobertura vegetal al finalizar el primer año</t>
  </si>
  <si>
    <t xml:space="preserve">Al inicio se tenía planificada solamente un área sin embargo con acercamientos más del GAD parroquial y con la gente de la zona ellos mismos propusieron aumentar más extensión. Acá se presentó un inconveniente: cuando socializaron, querían aumentar pero despúes asomaron otros actores en territorio que decían que habría en esta zona un plan de vivienda o que querían plantear posteriormente o no deseaban plantear porque sentían que quitabamos tierra. </t>
  </si>
  <si>
    <t xml:space="preserve">Al momento del monitoreo, la cobertura vegetal en el área intervenida no presenta aún un incremento significativo asociado a nuevas actividades de plantación, debido a que no se han ejecutado intervenciones adicionales en campo después de la siembra inicial. No obstante, se observa un incremento progresivo de la cobertura nativa por regeneración natural, lo que evidencia una dinámica favorable de recuperación vegetal en el sitio.
Asimismo, se identificó la necesidad de realizar actividades de mantenimiento alrededor de los árboles plantados, con el fin de reducir la competencia con otras especies, favorecer su establecimiento y garantizar su desarrollo adecuado. Durante el monitoreo también se determinó un 20% de mortalidad de plantas. Entre las principales causas identificadas se encuentran, por un lado, el tamaño reducido del material vegetal al momento de la plantación, lo que habría limitado su capacidad de adaptación y crecimiento; y por otro, la extracción de plantas por terceros, evidenciada por la presencia de agujeros expuestos en el terreno. </t>
  </si>
  <si>
    <t>Fortalecida la capacidad institucional de la Junta de Agua para la gestión del recurso hídrico con participación inclusiva.</t>
  </si>
  <si>
    <t>% de participación activa de mujeres y jóvenes en espacios formales de toma de decisión de la Junta de Agua.</t>
  </si>
  <si>
    <t>No se cuenta con registros desagregados de participación</t>
  </si>
  <si>
    <t>Al menos 30% de participación activa de mujeres y jóvenes en espacios formales de toma de decisión durante el último trimestre del proyecto.</t>
  </si>
  <si>
    <t xml:space="preserve">1 Acuerdo con Junta de Agua. Tenemos planificado otra serie de reuniones con quienes estamos trabajando. Se estima que la segunda sea con la comuna de peñaherrera por el tema de restauración en las a´reas de recarga hídrica y manejo de consecha de agua de lluvia. y la tercera con unidades educativas. Ya está firmado. Esperan firmar con Ministerio de Agricultura, Gobierno provincial. Se estima sobrepasar. </t>
  </si>
  <si>
    <t xml:space="preserve">Se han desarrollado reuniones de coordinación con el presidente y el secretario de la Junta de Agua, orientadas a viabilizar la firma del acuerdo de uso de suelo para la construcción del reservorio de agua. Como resultado de este proceso, el documento ya se encuentra formalmente firmado, lo que representa un avance concreto en el cumplimiento de la meta establecida.
Adicionalmente, en los próximos días se prevé realizar una reunión con los miembros de la Junta de Agua para definir el modelo de gestión de la nueva infraestructura, con el fin de establecer lineamientos claros para su administración, operación y sostenibilidad. </t>
  </si>
  <si>
    <t>Número de instrumentos de gestión adoptados y aplicados por la Junta de Agua (reglamentos actualizados, plan de gestión hídrica, actas regulares, mecanismos de control).</t>
  </si>
  <si>
    <t>Actualmente se desconoce las acciones que lleva a cabo la junta de agua.</t>
  </si>
  <si>
    <t>Al menos 3 acciones de fortalecimiento institucional implementadas.</t>
  </si>
  <si>
    <t>2 Acuerdo con Junta de Agua. Tenemos planificado otra serie de reuniones con quienes estamos trabajando. Se estima que la segunda sea con la comuna de peñaherrera por el tema de restauración en las a´reas de recarga hídrica y manejo de consecha de agua de lluvia. y la tercera con unidades educativas. Ya está firmado. Esperan firmar con Ministerio de Agricultura, Gobierno provincial. Se estima sobrepasar.</t>
  </si>
  <si>
    <t>Reducidos los conflictos por el uso del agua en la comunidad mediante mecanismos de gestión y articulación participativa.</t>
  </si>
  <si>
    <t>% de cumplimiento de las condiciones establecidas en el acuerdo comunitario para la gestión del recurso hídrico.</t>
  </si>
  <si>
    <t>No existe acuerdo formal ni sistema de seguimiento de cumplimiento.</t>
  </si>
  <si>
    <t>Al menos 70% de cumplimiento de las condiciones establecidas en el acuerdo durante la temporada seca al finalizar el proyecto.</t>
  </si>
  <si>
    <t xml:space="preserve">Durante el periodo de seguimiento se han venido ejecutando varias de las actividades contempladas en el acuerdo, evidenciando avances en su cumplimiento durante la temporada seca. Entre las acciones realizadas se encuentran las mingas de limpieza del sistema de cosecha de agua lluvia, la construcción de cajas rompe presión y el cercado del reservorio de almacenamiento, esta última orientada a prevenir riesgos y evitar accidentes a futuro.
Estas actividades reflejan el involucramiento de los actores locales en el proceso de implementación y aportan al cumplimiento progresivo de las condiciones establecidas en el acuerdo. </t>
  </si>
  <si>
    <t>% de usuarios que reportan disminución en conflictos por uso del agua al finalizar el proyecto.</t>
  </si>
  <si>
    <t>No existe acuerdo formal ni sistema de seguimiento de cumplimiento</t>
  </si>
  <si>
    <t>Al menos 60% de usuarios perciben disminución de conflictos en la fase final del proyecto.</t>
  </si>
  <si>
    <t>Los usuarios de la red de agua de la comuna de Peñaherrera señalan que aún persisten conflictos vinculados a la distribución equitativa del recurso hídrico entre familias. Esta situación indica que la percepción de disminución de conflictos todavía no se evidencia de forma clara. Se espera que los talleres de manejo y gestión del recurso hídrico, junto con la administración del nuevo reservorio, contribuyan a reducir esta problemática en la fase final del proyecto.</t>
  </si>
  <si>
    <t>Incrementada la adopción de prácticas de gestión hídrica, conservación de suelos y restauración ambiental por parte de los beneficiarios/as.</t>
  </si>
  <si>
    <t>% de personas capacitadas que reportan aplicar al menos una práctica desarrollada en los talleres.</t>
  </si>
  <si>
    <t>Al menos 30% de los participantes aplican al menos una práctica aprendida al finalizar el proyecto.</t>
  </si>
  <si>
    <t>De los 180 usuarios de la red principal de agua de riego de la comuna de Peñaherrera, que además constituyen la población beneficiaria del proyecto, se identificó que al menos 20 familias, equivalentes al 11%, han iniciado la aplicación de al menos una práctica promovida en el marco del proyecto, específicamente el uso de abonos orgánicos elaborados a partir del estiércol de borregos, actividad vinculada a una práctica localmente viable debido a que la crianza de esta especie es predominante en la comuna.</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</si>
  <si>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</si>
  <si>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</si>
  <si>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</si>
  <si>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</si>
  <si>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</si>
  <si>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</si>
  <si>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</si>
  <si>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</si>
  <si>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Sistema de cosecha de agua lluvia implementado por la Fundación Tierra Viva en la comunidad de Peñaherrera con acuerdos comunitarios.</t>
  </si>
  <si>
    <t># de sistemas de cosecha de agua lluvia implementados y acuerdos firmados.</t>
  </si>
  <si>
    <t>Al menos 1 sistema de cosecha de agua implementado y operativo en la comunidad con acuerdos comunitarios para su mantenimiento y gestión.</t>
  </si>
  <si>
    <t>Ya cumplidas esta fase 1: Diagnóstico y evaluación (terminado)
Fase 2: Estudio y diseño definitivo (en ejecución)</t>
  </si>
  <si>
    <t>Sistema comunitario de cosecha de agua lluvia implementado y operativo en la comunidad de Peñaherrera con mecanismos formales de gestión y mantenimiento.</t>
  </si>
  <si>
    <t># de sistemas comunitarios de cosecha de agua lluvia implementados y operativos.</t>
  </si>
  <si>
    <t>No existe sistema comunitario de cosecha de agua lluvia.</t>
  </si>
  <si>
    <t>1 sistema comunitario de cosecha de agua lluvia implementado, operativo y con acuerdo formal de gestión, beneficiando al menos al 70% de las familias usuarias durante la temporada seca.</t>
  </si>
  <si>
    <t>El sistema comunitario de cosecha de agua lluvia ya fue implementado y se encuentra en una fase inicial de operación, con retención de agua en bajas cantidades debido al uso de materiales naturales de la zona y al proceso de estabilización de la infraestructura. Sin embargo, aún no se ha formalizado el acuerdo de gestión, debido a que están pendientes la entrega oficial del sistema y la capacitación para su uso, operación y administración. En consecuencia, la meta presenta avances en su componente físico, pero mantiene pendientes en su componente de gestión formal.</t>
  </si>
  <si>
    <t>Existencia de un acuerdo comunitario formal que regule el uso, mantenimiento y administración del sistema.</t>
  </si>
  <si>
    <t>2 sistema comunitario de cosecha de agua lluvia implementado, operativo y con acuerdo formal de gestión, beneficiando al menos al 70% de las familias usuarias durante la temporada seca.</t>
  </si>
  <si>
    <t>Áreas de recarga hídrica y terrenos agrícolas reforestados con especies forestales nativas adaptadas a las condiciones locales.</t>
  </si>
  <si>
    <t># de plantas forestales nativas sembradas en las áreas de recarga hídrica y en terrenos de los y las agricultores/as de la comunidad de Peñaherrera.</t>
  </si>
  <si>
    <t>0 plantas forestales nativas sembradas en el marco del proyecto.</t>
  </si>
  <si>
    <t>Al menos 2400 plantas forestales nativas sembradas en áreas de recarga hídrica y terrenos de agricultores/as al finalizar el proyecto.</t>
  </si>
  <si>
    <t>Especies nativas adaptadas al bosque seco con el fin de conservar el suelo y mejorar el paisaje de la zona. 
Cholán (Tecoma stans)
Guarango (Caesalpinea spinosa)
Leucaena (Leucaena leucocephala)
Nogal (Junglas neotropica)
Níspero (Eriobotrya japonica)
Cucarda (Hibiscus rosa-sinensis)
Adelfa (Nerium oleander)</t>
  </si>
  <si>
    <t>Se desarrolló una segunda etapa de plantación una vez finalizada la construcción del reservorio, logrando la siembra de 1.500 plantas forestales nativas en el área de recarga hídrica. Al completarse el espacio disponible, se identificó con apoyo de la Escuela José Cuervo y Caicedo un área adicional de aproximadamente 3.500 m², destinada a conservación, donde se sembraron las 500 plantas restantes. Hasta la fecha se registra un total de 3.300 plantas establecidas, de las 2.400 planteadas en un inicio lo que se supera la meta antes establecida.</t>
  </si>
  <si>
    <t>Ribera de la quebrada seca y área de influencia del reservorio comunitario reforestadas con especies forestales nativas para contribuir a la protección del suelo y la regulación hídrica.</t>
  </si>
  <si>
    <t># de plantas forestales nativas sembradas en la ribera de la quebrada seca y en el área de influencia del reservorio comunitario.</t>
  </si>
  <si>
    <t>Al menos 1000 plantas forestales nativas sembradas en la ribera de la quebrada seca y en el área de influencia del reservorio comunitario de Ambuquí al finalizar el proyecto.</t>
  </si>
  <si>
    <t>Hasta el momento no se ha desarrollado una nueva etapa de plantación, debido a que el área prevista para la intervención aún no estaba disponible. Sin embargo, al contar ya con la aprobación del uso de suelo, se está planificando la siguiente jornada de plantación. La meta aún no registra avance en siembra, pero existen condiciones favorables para su ejecución en la siguiente fase.</t>
  </si>
  <si>
    <t>Parcelas agroforestales demostrativas de aproximadamente 2000 m² establecidas y manejadas por familias de la comunidad, incorporando especies nativas adaptadas a las condiciones locales.</t>
  </si>
  <si>
    <t># de parcelas agroforestales demostrativas diseñadas, establecidas y en manejo activo</t>
  </si>
  <si>
    <t>0 parcelas agroforestales demostrativas establecidas.</t>
  </si>
  <si>
    <t>Al menos 2 parcelas agroforestales demostrativas establecidas y en manejo activo, con participación directa de familias de la comunidad al finalizar el proyecto.</t>
  </si>
  <si>
    <t>Diseño participativo del sistema agroforestal (terminado)</t>
  </si>
  <si>
    <t>Se evidencian avances en el establecimiento de las dos parcelas agroforestales demostrativas, ya que los reservorios se encuentran construidos en ambos predios. Uno de ellos ya cuenta con agua, mientras que el segundo está en proceso de conexión para su llenado. Asimismo, se realizó la entrega de árboles forestales y frutales, los cuales están en proceso de plantación. La meta presenta avance, pero aún requiere completar la instalación y consolidar el manejo activo de ambas parcelas con participación de las familias.</t>
  </si>
  <si>
    <t>Beneficiarios/as de la comunidad de Peñaherrera y Ambuquí capacitados en prácticas de gestión hídrica, conservación de suelos y restauración ambiental.</t>
  </si>
  <si>
    <t># de talleres desarrollados y número de participantes capacitados, desagregados por sexo y edad</t>
  </si>
  <si>
    <t>0 talleres desarrollados en el marco del proyecto.</t>
  </si>
  <si>
    <t>Al menos 4 talleres desarrollados en temáticas de conservación de suelos, manejo de sistemas de cosecha de agua lluvia, elaboración de abonos orgánicos, restauración ecológica y mantenimiento del reservorio, con participación activa de al menos 20 participantes por taller y una participación mínima del 30% de mujeres y jóvenes.</t>
  </si>
  <si>
    <t xml:space="preserve">El primero fue de bioinsumos de bocachi y el segundo fue con 2 Unidades Educativas sobre beneficios de los procesos de restauración forestal. 
Estamos en planificación para el taller de conservación de suelos y manejo de recurso hídrico . </t>
  </si>
  <si>
    <t>Se ha desarrollado un taller sobre conservación de suelos, alineado con la meta establecida. Además, se realizaron tres talleres/reuniones vinculados al proceso de elaboración del Plan de Vida Comunitario de la Comuna de Peñaherrera, representando avances en el trabajo comunitario con la participación mínima de mujeres y jóvenes.</t>
  </si>
  <si>
    <t>Al menos el 30% de los participantes en los procesos de capacitación aplican los conocimientos adquiridos en sus fincas.</t>
  </si>
  <si>
    <t xml:space="preserve">Recién vamos a salir a campo para verificar los resultados para los beneficiados del taller de Bocachi. </t>
  </si>
  <si>
    <t xml:space="preserve">De los 240 beneficiarios del proyecto PARES, se identificó que el 8% ha empezado a aplicar en sus fincas conocimientos adquiridos en las capacitaciones, principalmente en la elaboración de abonos orgánicos mediante el uso de desechos generados localmente. </t>
  </si>
  <si>
    <t>Implementación de un reservorio de almacenamiento de agua en la zona de Ambuquí para el fortalecimiento de la gestión hídrica en el territorio.</t>
  </si>
  <si>
    <t># de reservorios operativos en la zona de Ambuquí.
% del aumento en el caudal del agua de riego a los terrenos de la zona de Ambuquí.</t>
  </si>
  <si>
    <t>Se cuenta con 115 usuarios del canal de agua, donde cada 15 días les dan 42 horas.</t>
  </si>
  <si>
    <t>Un reservorio instalado y funcional, seguido de un plan de distribución del agua de riego entre los usuarios beneficiados generando un aumento aproximado de un 5% en el caudal y el tiempo de uso del agua para riego.</t>
  </si>
  <si>
    <t>La meta se encuentra en etapa inicial, ya que el reservorio aún no ha sido instalado ni puesto en funcionamiento. Recientemente se formalizó la firma del acuerdo para el uso del espacio donde se construirá la infraestructura en la cabecera parroquial de Ambuquí, lo que constituye un avance habilitante para el inicio de la obra. Por el momento, no es posible verificar la funcionalidad del sistema ni medir el incremento esperado del 5% en el caudal y el tiempo de uso del agua para riego.</t>
  </si>
  <si>
    <t>Reservorio comunitario de almacenamiento de agua implementado y operativo en la zona de Ambuquí, on plan de distribución y gestión aprobado por los usuarios.</t>
  </si>
  <si>
    <t># de reservorios comunitarios implementados y operativos.</t>
  </si>
  <si>
    <t>1 reservorio implementado y operativo con plan de distribución aprobado.</t>
  </si>
  <si>
    <t>Se estima que en el mes de abril el reservorio de la cabecera parroquial de Ambuquí estará implementado. Sin embargo, aún queda pendiente verificar su operatividad y la aprobación del plan de distribución, elementos necesarios para el cumplimiento total de la meta.</t>
  </si>
  <si>
    <t xml:space="preserve">FUNDACIÓN COMUNITARIA PUCA </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</si>
  <si>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</si>
  <si>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</si>
  <si>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</si>
  <si>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</si>
  <si>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</si>
  <si>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</si>
  <si>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</si>
  <si>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</si>
  <si>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Fortalecida la gobernanza hídrica y capacidades locales</t>
  </si>
  <si>
    <t>Porcentaje de abonados que participen activamente en al menos una fase de construcción de infraestructuras hídricas</t>
  </si>
  <si>
    <t>3 asociaciones implementan mecanismos de compensación por servicios ecosistémicos hídricos</t>
  </si>
  <si>
    <t>Involucramiento de al menos el 70% de los abonados en la construcción de infraestructuras</t>
  </si>
  <si>
    <t>Actualmente se continuan con las obras de construcción y por ende el involucramiento de los abonados del servicio de agua, se ha firmado convenio de cooperacion con las juntas de agua, municipalidad e instituciones de apoyo</t>
  </si>
  <si>
    <t>En su mayoria, las comunidades trabajan mediante planillas comunitarias, los que le permite llevar control del trabajo de los abonados y de esa manera asegurar el involucramiento de todos los abonados. Hasta la fecha, se ha involucrado en promedio, mas del 70% de las comunidades, desde el acarreo del material local, el transporte de materiales ferreteros, hasta la construcción de la infraestructura.</t>
  </si>
  <si>
    <t>Fortalecida la resiliencia económica, ambiental y social mediante la implementación de SbN</t>
  </si>
  <si>
    <t>Número de SbN implementadas con participación Comunitaria</t>
  </si>
  <si>
    <t>Medidas aun no implementadas</t>
  </si>
  <si>
    <t>2</t>
  </si>
  <si>
    <r>
      <rPr>
        <rFont val="Arial"/>
        <color theme="1"/>
        <sz val="11.0"/>
      </rPr>
      <t xml:space="preserve">Implementadas las </t>
    </r>
    <r>
      <rPr>
        <rFont val="Arial"/>
        <color rgb="FFFF0000"/>
        <sz val="11.0"/>
      </rPr>
      <t>2</t>
    </r>
    <r>
      <rPr>
        <rFont val="Arial"/>
        <color theme="1"/>
        <sz val="11.0"/>
      </rPr>
      <t xml:space="preserve"> combinaciones de SbN con medidas habilitadoras y SbN parciales</t>
    </r>
  </si>
  <si>
    <t>Iniciadas las actividades para la implementación de las combinaciones de SbN, se han socializado con diferentes organismos y acualmente se gestiona convenio para aumentar el impacto de las medidas.
Para el porcentaje de avances, se ha determinado un porcentaje promedio entre las medidas realizadas y en proceso</t>
  </si>
  <si>
    <t>Durante este periodo se estuvieron desarrollando actividades para el cumplimiento de la SbN 1-Gestión sostenible del recurso hídrico mediante el fortalecimiento comunitario e implementación de soluciones estructurales, desde la construccion de medidas estructurales asi como el fortalecimieto de las juntas administradoras de agua</t>
  </si>
  <si>
    <r>
      <rPr>
        <rFont val="Arial"/>
        <b/>
        <color theme="1"/>
        <sz val="11.0"/>
      </rPr>
      <t xml:space="preserve">Monitoreo 1 
</t>
    </r>
    <r>
      <rPr>
        <rFont val="Arial"/>
        <b/>
        <color rgb="FF0070C0"/>
        <sz val="11.0"/>
      </rPr>
      <t>DIC 25</t>
    </r>
  </si>
  <si>
    <r>
      <rPr>
        <rFont val="Aptos Narrow"/>
        <b/>
        <color theme="1"/>
        <sz val="11.0"/>
      </rPr>
      <t xml:space="preserve">Monitoreo 2 
</t>
    </r>
    <r>
      <rPr>
        <rFont val="Aptos Narrow"/>
        <b/>
        <color rgb="FF0070C0"/>
        <sz val="11.0"/>
      </rPr>
      <t>MAR26</t>
    </r>
  </si>
  <si>
    <r>
      <rPr>
        <rFont val="Aptos Narrow"/>
        <b/>
        <color theme="1"/>
        <sz val="11.0"/>
      </rPr>
      <t xml:space="preserve">Monitoreo 3 
</t>
    </r>
    <r>
      <rPr>
        <rFont val="Aptos Narrow"/>
        <b/>
        <color rgb="FF0070C0"/>
        <sz val="11.0"/>
      </rPr>
      <t>JUN26</t>
    </r>
  </si>
  <si>
    <r>
      <rPr>
        <rFont val="Aptos Narrow"/>
        <b/>
        <color theme="1"/>
        <sz val="11.0"/>
      </rPr>
      <t xml:space="preserve">Monitoreo 4 
</t>
    </r>
    <r>
      <rPr>
        <rFont val="Aptos Narrow"/>
        <b/>
        <color rgb="FF0070C0"/>
        <sz val="11.0"/>
      </rPr>
      <t>SEPT26</t>
    </r>
  </si>
  <si>
    <r>
      <rPr>
        <rFont val="Arial"/>
        <b/>
        <color theme="1"/>
        <sz val="11.0"/>
      </rPr>
      <t xml:space="preserve">Observaciones - Alertas 
Monitoreo 1 - </t>
    </r>
    <r>
      <rPr>
        <rFont val="Arial"/>
        <b/>
        <color rgb="FF0070C0"/>
        <sz val="11.0"/>
      </rPr>
      <t>DIC 25</t>
    </r>
  </si>
  <si>
    <r>
      <rPr>
        <rFont val="Arial"/>
        <b/>
        <color theme="1"/>
        <sz val="11.0"/>
      </rPr>
      <t>Observaciones - Alertas 
Monitoreo 2 -</t>
    </r>
    <r>
      <rPr>
        <rFont val="Arial"/>
        <b/>
        <color rgb="FF0070C0"/>
        <sz val="11.0"/>
      </rPr>
      <t xml:space="preserve"> MAR 26</t>
    </r>
  </si>
  <si>
    <r>
      <rPr>
        <rFont val="Arial"/>
        <b/>
        <color theme="1"/>
        <sz val="11.0"/>
      </rPr>
      <t xml:space="preserve">Observaciones - Alertas 
Monitoreo 3 - </t>
    </r>
    <r>
      <rPr>
        <rFont val="Arial"/>
        <b/>
        <color rgb="FF0070C0"/>
        <sz val="11.0"/>
      </rPr>
      <t>JUN 26</t>
    </r>
  </si>
  <si>
    <r>
      <rPr>
        <rFont val="Arial"/>
        <b/>
        <color theme="1"/>
        <sz val="11.0"/>
      </rPr>
      <t xml:space="preserve">Observaciones - Alertas 
Monitoreo 4 - </t>
    </r>
    <r>
      <rPr>
        <rFont val="Arial"/>
        <b/>
        <color rgb="FF0070C0"/>
        <sz val="11.0"/>
      </rPr>
      <t>SEPT 26</t>
    </r>
  </si>
  <si>
    <t>Muros de contención construidos en zonas de recarga hídrica</t>
  </si>
  <si>
    <t>Metros lineales de muros de contención construidos en zonas de recarga hídrica</t>
  </si>
  <si>
    <t>30 metros lineales construidos de muros de contención</t>
  </si>
  <si>
    <t>La construcción de muros de contención se encuentra en proceso, se ha beneficiado a la microcuenca de El Cral para la construcción de 15 metros lineales, de los cuales se ha navanzado en las actividades un 10%</t>
  </si>
  <si>
    <t>Actualmente se avanza con la contruccion de los 15 metros lineales reportados en el trimestre aterior, dado que se retrasaron algunas actividades a causa de las variabilidades climáticas</t>
  </si>
  <si>
    <t>Construcción de tanques de almacenamiento con capacidad de 20,000 galones de agua</t>
  </si>
  <si>
    <r>
      <rPr>
        <rFont val="Arial"/>
        <color rgb="FF000000"/>
        <sz val="11.0"/>
      </rPr>
      <t xml:space="preserve">Número de tanques de almacenamiento construidos, </t>
    </r>
    <r>
      <rPr>
        <rFont val="Arial"/>
        <color rgb="FF000000"/>
        <sz val="11.0"/>
      </rPr>
      <t xml:space="preserve">reconstruidos </t>
    </r>
    <r>
      <rPr>
        <rFont val="Arial"/>
        <color rgb="FF000000"/>
        <sz val="11.0"/>
      </rPr>
      <t>y funcionales</t>
    </r>
  </si>
  <si>
    <t>5 tanques de almacenamiento de agua que no logran abastecer del recurso hídrico a toda la población</t>
  </si>
  <si>
    <r>
      <rPr>
        <rFont val="Arial"/>
        <color rgb="FF000000"/>
        <sz val="11.0"/>
      </rPr>
      <t xml:space="preserve">Construidos </t>
    </r>
    <r>
      <rPr>
        <rFont val="Arial"/>
        <color rgb="FF000000"/>
        <sz val="11.0"/>
      </rPr>
      <t>4</t>
    </r>
    <r>
      <rPr>
        <rFont val="Arial"/>
        <color rgb="FF000000"/>
        <sz val="11.0"/>
      </rPr>
      <t xml:space="preserve"> nuevos tanques de almacenamiento de agua y </t>
    </r>
    <r>
      <rPr>
        <rFont val="Arial"/>
        <color rgb="FF000000"/>
        <sz val="11.0"/>
      </rPr>
      <t>1 reconstruido</t>
    </r>
    <r>
      <rPr>
        <rFont val="Arial"/>
        <color rgb="FF000000"/>
        <sz val="11.0"/>
      </rPr>
      <t>, con capacidad de 20,000 galones</t>
    </r>
  </si>
  <si>
    <t>En proceso de contrucción y recosntrucción, a estos se les continua dando seguimiento</t>
  </si>
  <si>
    <t>Hasta la fecha se ha concluido la construcción de 3 tanques de almacenamiento de agua de 20,000 galones, y otros 2 aun se encuentran en construcción (1 de 20,000 y 1 de 40,000 galones)</t>
  </si>
  <si>
    <t>Mejoramiento de sistemas de conducción y distribución de agua</t>
  </si>
  <si>
    <t>Número de familias beneficiadas</t>
  </si>
  <si>
    <t>Beneficiadas aproximadamente 3,300 familias de los municipios de Gracias, La Iguala y Las Flores</t>
  </si>
  <si>
    <t xml:space="preserve">En proceso de instalación de tubería para mejoramiento del sistema de conducción y distribución. Estas familias son del tramo de la Lima y la Misión </t>
  </si>
  <si>
    <t>Se ha realizado la compra de materiales para el apoyo a las comunidades abastecidas por microcuencas del Paisaje, analizando los factores de implementación de mecanismos de compensacion y áreas donde las redes de distribución ya cumplieron su vida útil. Beneficiados indirectos alrededor de 17,700 personas</t>
  </si>
  <si>
    <t>Áreas reforestadas en sistemas agroforestales, silvopastoriles y microcuencas</t>
  </si>
  <si>
    <r>
      <rPr>
        <rFont val="Arial"/>
        <color rgb="FF000000"/>
        <sz val="11.0"/>
      </rPr>
      <t>Número de hectáreas reforestadas bajo esquemas de sistemas agroforestales, silvopastoriles, microcuencas y</t>
    </r>
    <r>
      <rPr>
        <rFont val="Arial"/>
        <color rgb="FF000000"/>
        <sz val="11.0"/>
      </rPr>
      <t xml:space="preserve"> centros educativos</t>
    </r>
  </si>
  <si>
    <t>Reforestadas alrededor de 10 hectáreas en sistemas agroforestales, silvopastoriles y microcuencas</t>
  </si>
  <si>
    <r>
      <rPr>
        <rFont val="Arial"/>
        <color rgb="FF000000"/>
        <sz val="11.0"/>
      </rPr>
      <t xml:space="preserve">20 hectáreas reforestadas en sistemas agroforestales, silvopastoriles, microcuencas y </t>
    </r>
    <r>
      <rPr>
        <rFont val="Arial"/>
        <color rgb="FF000000"/>
        <sz val="11.0"/>
      </rPr>
      <t xml:space="preserve">centros educativos </t>
    </r>
    <r>
      <rPr>
        <rFont val="Arial"/>
        <color rgb="FF000000"/>
        <sz val="11.0"/>
      </rPr>
      <t>con el  vivero permanente funcionando en la FC Puca con la producción de 20,000 plantas</t>
    </r>
  </si>
  <si>
    <r>
      <rPr>
        <rFont val="Arial"/>
        <color theme="1"/>
        <sz val="11.0"/>
      </rPr>
      <t xml:space="preserve">Se han realizado actividades de mejoramiento y mantenimiento del vivero, limpieza. </t>
    </r>
    <r>
      <rPr>
        <rFont val="Arial"/>
        <color theme="1"/>
        <sz val="11.0"/>
      </rPr>
      <t xml:space="preserve">En coordinación con estructuras locales para trabajar áreas degradadas. </t>
    </r>
  </si>
  <si>
    <r>
      <rPr>
        <rFont val="Arial"/>
        <color theme="1"/>
        <sz val="11.0"/>
      </rPr>
      <t>Durante el periodo se dio seguimiento y mantenimiento a las actividades del vivero, como la preparación de sustrato, llenado de bolsas, germinación de semillas y limpieza general, para asegurar la producción continua de plantas.
Se ha logrado la compra de 11.2 manzanas de terreno para la conservación en la microcuenca Rio Caje. (</t>
    </r>
    <r>
      <rPr>
        <rFont val="Arial"/>
        <color rgb="FFFF9900"/>
        <sz val="11.0"/>
      </rPr>
      <t xml:space="preserve">Se realizaran procesos de restauración asistida en las microcuencas con SAF  y silivipastoriles). Se incorporaron especies como Cedro, san juan, carreto, pino y especies meliferas, citricos limón, naranja, guanabana,   </t>
    </r>
  </si>
  <si>
    <t>Familias beneficiadas con fortalecimiento de medios de vida alternativos mediante la entrega de colmenas, insumos apícolas, equipo de manejo y protección, y fortalecimiento de capacidades técnicas en apicultura</t>
  </si>
  <si>
    <r>
      <rPr>
        <rFont val="Arial"/>
        <color rgb="FF000000"/>
        <sz val="11.0"/>
      </rPr>
      <t xml:space="preserve">Número de </t>
    </r>
    <r>
      <rPr>
        <rFont val="Arial"/>
        <color rgb="FF000000"/>
        <sz val="11.0"/>
      </rPr>
      <t xml:space="preserve">grupos </t>
    </r>
    <r>
      <rPr>
        <rFont val="Arial"/>
        <color rgb="FF000000"/>
        <sz val="11.0"/>
      </rPr>
      <t>y familias fortalecidas y beneficiadas</t>
    </r>
  </si>
  <si>
    <t>5 grupos apícolas funcionando, beneficiando alrededor de 80 familias.</t>
  </si>
  <si>
    <t>-</t>
  </si>
  <si>
    <t>5 grupos fortalecidos y nuevas familias incluidas en los grupos para beneficio con colmenas, insumos, equipo de manejo y protección de colmenas</t>
  </si>
  <si>
    <r>
      <rPr>
        <rFont val="Arial"/>
        <color theme="1"/>
        <sz val="11.0"/>
      </rPr>
      <t xml:space="preserve">En este periodo se obtuvieron resultados positivos del convenio con ProOccidente, ya que se inició la entrega de equipo e insumos apícolas a familias beneficiarias para ilpulsar el rubro apícola e incrementar el inventario en la zona   </t>
    </r>
    <r>
      <rPr>
        <rFont val="Arial"/>
        <color rgb="FFFF9900"/>
        <sz val="11.0"/>
      </rPr>
      <t>(Parte proceso se esta considerando comprar insumos que no han se han previsto en el convenio, para el otro trimestre se tendran avances para la implementación )</t>
    </r>
  </si>
  <si>
    <r>
      <rPr>
        <rFont val="Arial"/>
        <color rgb="FF000000"/>
        <sz val="11.0"/>
      </rPr>
      <t xml:space="preserve">Número de personas capacitadas </t>
    </r>
    <r>
      <rPr>
        <rFont val="Arial"/>
        <color rgb="FF000000"/>
        <sz val="11.0"/>
      </rPr>
      <t>en manejo de colmenas y subproductos apicolas</t>
    </r>
  </si>
  <si>
    <t>Alrededor de 40 personas capacitadas</t>
  </si>
  <si>
    <t>Fortalecimiento de capacidades mediante procesos formativos a 80 personas</t>
  </si>
  <si>
    <t>Mujeres capacitadas en la elaboración de subproductos apicolas (jabones, velas, cremas)
Han identificado desafíos en movilización de las participantes</t>
  </si>
  <si>
    <t>Capacitación sobre el uso correcto del equipo de protección, el manejo apicola con nuevas tecnologías y acuerdos verbales para la plantación de arboles o arbustos que provean alimento para las abejas. Este proceso formativo fue complementado con el proyecto ProOccidente quien dispuso de técnico para la capacitación y el proyecto Chipe que brindó la alimentación.</t>
  </si>
  <si>
    <t>Análisis de calidad de agua realizados</t>
  </si>
  <si>
    <t>Número de análisis de calidad de agua realizados en fuentes priorizadas</t>
  </si>
  <si>
    <r>
      <rPr>
        <rFont val="Arial"/>
        <color rgb="FF000000"/>
        <sz val="11.0"/>
      </rPr>
      <t xml:space="preserve">21 análisis realizados </t>
    </r>
    <r>
      <rPr>
        <rFont val="Arial"/>
        <color rgb="FF000000"/>
        <sz val="11.0"/>
      </rPr>
      <t>en el 2026</t>
    </r>
  </si>
  <si>
    <r>
      <rPr>
        <rFont val="Arial"/>
        <color theme="1"/>
        <sz val="11.0"/>
      </rPr>
      <t xml:space="preserve">21 análisis de calidad de agua realizados </t>
    </r>
    <r>
      <rPr>
        <rFont val="Arial"/>
        <strike/>
        <color rgb="FFFF0000"/>
        <sz val="11.0"/>
      </rPr>
      <t>en época lluviosa</t>
    </r>
  </si>
  <si>
    <t>Inicialmente se realizaron 22 análisis de calidad de agua en las obras de toma de las microcuencas que abastecen a las comunidades del Paisaje RVS Puca, con el objetivo de conocer el estado de sus fuentes. Sin embargo, al identificarse altos niveles de contaminación en varias de ellas, posteriormente se llevaron a cabo análisis adicionales en llaves de viviendas. Esto permitirá comparar la calidad del agua desde la fuente hasta el punto de consumo y asi contar con información clara y confiable que sirva para la toma de decisiones.
A raiz de las respuestas a algunas gestion,es se lograron realizar más informes de los que se habian establecido como metas.</t>
  </si>
  <si>
    <t>Fortalecimiento y realización de informes de transparencia de las estructuras locales</t>
  </si>
  <si>
    <t>Número de procesos de acompañamiento a las Juntas administradoras de agua (JAA) para la elaboración de informes de rendición de cuentas.</t>
  </si>
  <si>
    <t>21 informes de rendición de cuentas realizados en 2024 dentro del paisaje</t>
  </si>
  <si>
    <t>7 procesos para la realización de informes de rendición de cuentas</t>
  </si>
  <si>
    <t>Se desarrollaron 10 procesos orientados a la elaboración de informes de rendición de cuentas, mediante los cuales se logró recopilar la información necesaria para la presentación de 27 informes. Actualmente, estos se encuentran en su fase final de revisión, previo a su remisión al ERSAPS para su correspondiente inscripción</t>
  </si>
  <si>
    <t>- Número de procesos formativos realizados en temas de fontanería</t>
  </si>
  <si>
    <t>22 informes de rendición de cuentas realizados en 2024 dentro del paisaje</t>
  </si>
  <si>
    <t>1 proceso de formación en fontanería</t>
  </si>
  <si>
    <t xml:space="preserve">Se estaran realizando a partir de mayo a julio en articulación con el SANA, para el acompañamiento y que puedan impartirse en conjunto con el instituto forestal nacional </t>
  </si>
  <si>
    <t>- Número de capacitaciones realizadas en gestión administrativa, financiera y organizativa para JAA</t>
  </si>
  <si>
    <t>23 informes de rendición de cuentas realizados en 2024 dentro del paisaje</t>
  </si>
  <si>
    <t>4 capacitaciones en procesos administrativos</t>
  </si>
  <si>
    <r>
      <rPr>
        <rFont val="Arial"/>
        <color rgb="FFFF9900"/>
        <sz val="11.0"/>
      </rPr>
      <t>se realizaran en el proximo semestre</t>
    </r>
    <r>
      <rPr>
        <rFont val="Arial"/>
        <color theme="1"/>
        <sz val="11.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</si>
</sst>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30">
    <font>
      <sz val="11.0"/>
      <color theme="1"/>
      <name val="Aptos Narrow"/>
      <scheme val="minor"/>
    </font>
    <font>
      <b/>
      <sz val="28.0"/>
      <color theme="1"/>
      <name val="Aptos Narrow"/>
    </font>
    <font/>
    <font>
      <sz val="11.0"/>
      <color theme="1"/>
      <name val="Aptos Narrow"/>
    </font>
    <font>
      <color theme="1"/>
      <name val="Aptos Narrow"/>
    </font>
    <font>
      <b/>
      <sz val="11.0"/>
      <color theme="0"/>
      <name val="Aptos Narrow"/>
    </font>
    <font>
      <sz val="11.0"/>
      <color theme="0"/>
      <name val="Aptos Narrow"/>
    </font>
    <font>
      <b/>
      <sz val="11.0"/>
      <color theme="1"/>
      <name val="Aptos Narrow"/>
    </font>
    <font>
      <b/>
      <sz val="11.0"/>
      <color rgb="FF000000"/>
      <name val="Aptos Narrow"/>
    </font>
    <font>
      <sz val="11.0"/>
      <color theme="1"/>
      <name val="Arial"/>
    </font>
    <font>
      <sz val="11.0"/>
      <color rgb="FFFF0000"/>
      <name val="Arial"/>
    </font>
    <font>
      <sz val="9.0"/>
      <color theme="1"/>
      <name val="Arial"/>
    </font>
    <font>
      <sz val="11.0"/>
      <color rgb="FF000000"/>
      <name val="Arial"/>
    </font>
    <font>
      <sz val="11.0"/>
      <color rgb="FF0000FF"/>
      <name val="Arial"/>
    </font>
    <font>
      <sz val="11.0"/>
      <color rgb="FFFF9900"/>
      <name val="Arial"/>
    </font>
    <font>
      <color rgb="FFFF0000"/>
      <name val="Arial"/>
    </font>
    <font>
      <b/>
      <sz val="11.0"/>
      <color rgb="FFFF0000"/>
      <name val="Arial"/>
    </font>
    <font>
      <sz val="9.0"/>
      <color theme="1"/>
      <name val="Aptos Narrow"/>
    </font>
    <font>
      <b/>
      <sz val="11.0"/>
      <color theme="1"/>
      <name val="Arial"/>
    </font>
    <font>
      <b/>
      <sz val="28.0"/>
      <color theme="1"/>
      <name val="Arial"/>
    </font>
    <font>
      <b/>
      <sz val="11.0"/>
      <color rgb="FF000000"/>
      <name val="Arial"/>
    </font>
    <font>
      <sz val="8.0"/>
      <color theme="1"/>
      <name val="Arial"/>
    </font>
    <font>
      <sz val="11.0"/>
      <color rgb="FF000000"/>
      <name val="Aptos Narrow"/>
    </font>
    <font>
      <sz val="8.0"/>
      <color rgb="FF000000"/>
      <name val="Arial"/>
    </font>
    <font>
      <b/>
      <sz val="26.0"/>
      <color theme="1"/>
      <name val="Arial"/>
    </font>
    <font>
      <color theme="1"/>
      <name val="Arial"/>
    </font>
    <font>
      <b/>
      <sz val="11.0"/>
      <color rgb="FFFFFFFF"/>
      <name val="&quot;Aptos Narrow&quot;"/>
    </font>
    <font>
      <sz val="11.0"/>
      <color rgb="FFFFFFFF"/>
      <name val="&quot;Aptos Narrow&quot;"/>
    </font>
    <font>
      <sz val="11.0"/>
      <color rgb="FF000000"/>
      <name val="&quot;Aptos Narrow&quot;"/>
    </font>
    <font>
      <b/>
      <sz val="26.0"/>
      <color theme="1"/>
      <name val="Aptos Narrow"/>
    </font>
  </fonts>
  <fills count="13">
    <fill>
      <patternFill patternType="none"/>
    </fill>
    <fill>
      <patternFill patternType="lightGray"/>
    </fill>
    <fill>
      <patternFill patternType="solid">
        <fgColor rgb="FF0070C0"/>
        <bgColor rgb="FF0070C0"/>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D9F2D0"/>
        <bgColor rgb="FFD9F2D0"/>
      </patternFill>
    </fill>
    <fill>
      <patternFill patternType="solid">
        <fgColor rgb="FFB6D7A8"/>
        <bgColor rgb="FFB6D7A8"/>
      </patternFill>
    </fill>
    <fill>
      <patternFill patternType="solid">
        <fgColor rgb="FF4EA72E"/>
        <bgColor rgb="FF4EA72E"/>
      </patternFill>
    </fill>
    <fill>
      <patternFill patternType="solid">
        <fgColor rgb="FFEAD1DC"/>
        <bgColor rgb="FFEAD1DC"/>
      </patternFill>
    </fill>
    <fill>
      <patternFill patternType="solid">
        <fgColor rgb="FFFF9900"/>
        <bgColor rgb="FFFF9900"/>
      </patternFill>
    </fill>
    <fill>
      <patternFill patternType="solid">
        <fgColor rgb="FFE06666"/>
        <bgColor rgb="FFE06666"/>
      </patternFill>
    </fill>
    <fill>
      <patternFill patternType="solid">
        <fgColor theme="9"/>
        <bgColor theme="9"/>
      </patternFill>
    </fill>
  </fills>
  <borders count="33">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top style="medium">
        <color rgb="FF000000"/>
      </top>
    </border>
    <border>
      <left style="thin">
        <color rgb="FF000000"/>
      </left>
      <right style="medium">
        <color rgb="FF000000"/>
      </right>
      <top style="medium">
        <color rgb="FF000000"/>
      </top>
    </border>
    <border>
      <right style="thin">
        <color rgb="FF000000"/>
      </right>
      <top style="medium">
        <color rgb="FF000000"/>
      </top>
    </border>
    <border>
      <left style="thin">
        <color rgb="FF000000"/>
      </left>
      <right style="thin">
        <color rgb="FF000000"/>
      </right>
      <top style="thin">
        <color rgb="FF000000"/>
      </top>
    </border>
    <border>
      <left/>
      <right/>
      <top/>
    </border>
    <border>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left/>
      <right style="medium">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top style="medium">
        <color rgb="FF000000"/>
      </top>
      <bottom/>
    </border>
    <border>
      <left/>
      <right/>
      <top style="medium">
        <color rgb="FF000000"/>
      </top>
      <bottom/>
    </border>
    <border>
      <left/>
      <top style="medium">
        <color rgb="FF000000"/>
      </top>
      <bottom/>
    </border>
    <border>
      <left/>
      <right style="medium">
        <color rgb="FF000000"/>
      </right>
      <top style="medium">
        <color rgb="FF000000"/>
      </top>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0" fontId="2" numFmtId="0" xfId="0" applyBorder="1" applyFont="1"/>
    <xf borderId="2" fillId="0" fontId="3" numFmtId="0" xfId="0" applyAlignment="1" applyBorder="1" applyFont="1">
      <alignment shrinkToFit="0" wrapText="1"/>
    </xf>
    <xf borderId="3" fillId="0" fontId="3" numFmtId="0" xfId="0" applyAlignment="1" applyBorder="1" applyFont="1">
      <alignment shrinkToFit="0" wrapText="1"/>
    </xf>
    <xf borderId="0" fillId="0" fontId="4" numFmtId="0" xfId="0" applyAlignment="1" applyFont="1">
      <alignment shrinkToFit="0" wrapText="1"/>
    </xf>
    <xf borderId="4" fillId="2" fontId="5" numFmtId="0" xfId="0" applyAlignment="1" applyBorder="1" applyFill="1" applyFont="1">
      <alignment shrinkToFit="0" wrapText="1"/>
    </xf>
    <xf borderId="4" fillId="2" fontId="6" numFmtId="0" xfId="0" applyAlignment="1" applyBorder="1" applyFont="1">
      <alignment shrinkToFit="0" wrapText="1"/>
    </xf>
    <xf borderId="4" fillId="2" fontId="3" numFmtId="0" xfId="0" applyAlignment="1" applyBorder="1" applyFont="1">
      <alignment shrinkToFit="0" wrapText="1"/>
    </xf>
    <xf borderId="5" fillId="0" fontId="7" numFmtId="0" xfId="0" applyAlignment="1" applyBorder="1" applyFont="1">
      <alignment horizontal="center" shrinkToFit="0" vertical="center" wrapText="1"/>
    </xf>
    <xf borderId="6" fillId="0" fontId="7" numFmtId="0" xfId="0" applyAlignment="1" applyBorder="1" applyFont="1">
      <alignment horizontal="center" shrinkToFit="0" vertical="center" wrapText="1"/>
    </xf>
    <xf borderId="7" fillId="0" fontId="7"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9" fillId="0" fontId="7" numFmtId="0" xfId="0" applyAlignment="1" applyBorder="1" applyFont="1">
      <alignment horizontal="center" shrinkToFit="0" vertical="center" wrapText="1"/>
    </xf>
    <xf borderId="10" fillId="0" fontId="7" numFmtId="0" xfId="0" applyAlignment="1" applyBorder="1" applyFont="1">
      <alignment horizontal="center" shrinkToFit="0" vertical="center" wrapText="1"/>
    </xf>
    <xf borderId="7" fillId="0" fontId="9" numFmtId="0" xfId="0" applyAlignment="1" applyBorder="1" applyFont="1">
      <alignment horizontal="left" shrinkToFit="0" vertical="center" wrapText="1"/>
    </xf>
    <xf borderId="7" fillId="0" fontId="3" numFmtId="0" xfId="0" applyAlignment="1" applyBorder="1" applyFont="1">
      <alignment shrinkToFit="0" vertical="center" wrapText="1"/>
    </xf>
    <xf borderId="7" fillId="0" fontId="9" numFmtId="0" xfId="0" applyAlignment="1" applyBorder="1" applyFont="1">
      <alignment shrinkToFit="0" vertical="center" wrapText="1"/>
    </xf>
    <xf borderId="7" fillId="0" fontId="9" numFmtId="9" xfId="0" applyAlignment="1" applyBorder="1" applyFont="1" applyNumberFormat="1">
      <alignment shrinkToFit="0" vertical="center" wrapText="1"/>
    </xf>
    <xf borderId="7" fillId="0" fontId="3" numFmtId="0" xfId="0" applyAlignment="1" applyBorder="1" applyFont="1">
      <alignment horizontal="left" shrinkToFit="0" vertical="center" wrapText="1"/>
    </xf>
    <xf borderId="7" fillId="0" fontId="10" numFmtId="0" xfId="0" applyAlignment="1" applyBorder="1" applyFont="1">
      <alignment shrinkToFit="0" vertical="center" wrapText="1"/>
    </xf>
    <xf borderId="7" fillId="0" fontId="4" numFmtId="0" xfId="0" applyAlignment="1" applyBorder="1" applyFont="1">
      <alignment shrinkToFit="0" wrapText="1"/>
    </xf>
    <xf borderId="7" fillId="2" fontId="5" numFmtId="0" xfId="0" applyAlignment="1" applyBorder="1" applyFont="1">
      <alignment shrinkToFit="0" wrapText="1"/>
    </xf>
    <xf borderId="7" fillId="2" fontId="6" numFmtId="0" xfId="0" applyAlignment="1" applyBorder="1" applyFont="1">
      <alignment shrinkToFit="0" wrapText="1"/>
    </xf>
    <xf borderId="7" fillId="2" fontId="3" numFmtId="0" xfId="0" applyAlignment="1" applyBorder="1" applyFont="1">
      <alignment shrinkToFit="0" wrapText="1"/>
    </xf>
    <xf borderId="7" fillId="0" fontId="8" numFmtId="0" xfId="0" applyAlignment="1" applyBorder="1" applyFont="1">
      <alignment horizontal="center" shrinkToFit="0" vertical="center" wrapText="1"/>
    </xf>
    <xf borderId="2" fillId="0" fontId="3" numFmtId="0" xfId="0" applyBorder="1" applyFont="1"/>
    <xf borderId="3" fillId="0" fontId="3" numFmtId="0" xfId="0" applyBorder="1" applyFont="1"/>
    <xf borderId="7" fillId="2" fontId="5" numFmtId="0" xfId="0" applyBorder="1" applyFont="1"/>
    <xf borderId="7" fillId="2" fontId="6" numFmtId="0" xfId="0" applyBorder="1" applyFont="1"/>
    <xf borderId="7" fillId="2" fontId="3" numFmtId="0" xfId="0" applyBorder="1" applyFont="1"/>
    <xf borderId="11" fillId="0" fontId="9" numFmtId="0" xfId="0" applyAlignment="1" applyBorder="1" applyFont="1">
      <alignment horizontal="left" shrinkToFit="0" vertical="center" wrapText="1"/>
    </xf>
    <xf borderId="11" fillId="0" fontId="3" numFmtId="0" xfId="0" applyAlignment="1" applyBorder="1" applyFont="1">
      <alignment horizontal="left" shrinkToFit="0" vertical="center" wrapText="1"/>
    </xf>
    <xf borderId="7" fillId="0" fontId="3" numFmtId="10" xfId="0" applyAlignment="1" applyBorder="1" applyFont="1" applyNumberFormat="1">
      <alignment shrinkToFit="0" vertical="center" wrapText="1"/>
    </xf>
    <xf borderId="7" fillId="0" fontId="11" numFmtId="0" xfId="0" applyAlignment="1" applyBorder="1" applyFont="1">
      <alignment shrinkToFit="0" vertical="center" wrapText="1"/>
    </xf>
    <xf borderId="7" fillId="0" fontId="12" numFmtId="0" xfId="0" applyAlignment="1" applyBorder="1" applyFont="1">
      <alignment shrinkToFit="0" vertical="center" wrapText="1"/>
    </xf>
    <xf borderId="11" fillId="0" fontId="12" numFmtId="0" xfId="0" applyAlignment="1" applyBorder="1" applyFont="1">
      <alignment shrinkToFit="0" vertical="center" wrapText="1"/>
    </xf>
    <xf borderId="11" fillId="0" fontId="3" numFmtId="0" xfId="0" applyAlignment="1" applyBorder="1" applyFont="1">
      <alignment shrinkToFit="0" vertical="center" wrapText="1"/>
    </xf>
    <xf borderId="7" fillId="0" fontId="13" numFmtId="0" xfId="0" applyAlignment="1" applyBorder="1" applyFont="1">
      <alignment shrinkToFit="0" vertical="center" wrapText="1"/>
    </xf>
    <xf borderId="7" fillId="0" fontId="14" numFmtId="0" xfId="0" applyAlignment="1" applyBorder="1" applyFont="1">
      <alignment shrinkToFit="0" vertical="center" wrapText="1"/>
    </xf>
    <xf borderId="11" fillId="0" fontId="3" numFmtId="0" xfId="0" applyAlignment="1" applyBorder="1" applyFont="1">
      <alignment horizontal="center" shrinkToFit="0" vertical="center" wrapText="1"/>
    </xf>
    <xf borderId="0" fillId="0" fontId="15" numFmtId="0" xfId="0" applyFont="1"/>
    <xf borderId="7" fillId="0" fontId="3" numFmtId="0" xfId="0" applyAlignment="1" applyBorder="1" applyFont="1">
      <alignment horizontal="center" shrinkToFit="0" wrapText="1"/>
    </xf>
    <xf borderId="7" fillId="0" fontId="9" numFmtId="0" xfId="0" applyAlignment="1" applyBorder="1" applyFont="1">
      <alignment shrinkToFit="0" wrapText="1"/>
    </xf>
    <xf borderId="7" fillId="0" fontId="3" numFmtId="0" xfId="0" applyBorder="1" applyFont="1"/>
    <xf borderId="12" fillId="2" fontId="5" numFmtId="0" xfId="0" applyBorder="1" applyFont="1"/>
    <xf borderId="12" fillId="2" fontId="6" numFmtId="0" xfId="0" applyBorder="1" applyFont="1"/>
    <xf borderId="12" fillId="2" fontId="3" numFmtId="0" xfId="0" applyBorder="1" applyFont="1"/>
    <xf borderId="7" fillId="0" fontId="16" numFmtId="0" xfId="0" applyAlignment="1" applyBorder="1" applyFont="1">
      <alignment horizontal="center" shrinkToFit="0" vertical="center" wrapText="1"/>
    </xf>
    <xf borderId="7" fillId="0" fontId="4" numFmtId="0" xfId="0" applyBorder="1" applyFont="1"/>
    <xf borderId="7" fillId="0" fontId="11" numFmtId="0" xfId="0" applyAlignment="1" applyBorder="1" applyFont="1">
      <alignment shrinkToFit="0" wrapText="1"/>
    </xf>
    <xf borderId="7" fillId="0" fontId="11" numFmtId="0" xfId="0" applyAlignment="1" applyBorder="1" applyFont="1">
      <alignment shrinkToFit="0" vertical="top" wrapText="1"/>
    </xf>
    <xf borderId="7" fillId="0" fontId="17" numFmtId="0" xfId="0" applyAlignment="1" applyBorder="1" applyFont="1">
      <alignment shrinkToFit="0" wrapText="1"/>
    </xf>
    <xf borderId="7" fillId="0" fontId="17" numFmtId="0" xfId="0" applyAlignment="1" applyBorder="1" applyFont="1">
      <alignment shrinkToFit="0" vertical="top" wrapText="1"/>
    </xf>
    <xf borderId="0" fillId="0" fontId="17" numFmtId="0" xfId="0" applyFont="1"/>
    <xf borderId="7" fillId="0" fontId="18" numFmtId="0" xfId="0" applyAlignment="1" applyBorder="1" applyFont="1">
      <alignment horizontal="center" shrinkToFit="0" vertical="center" wrapText="1"/>
    </xf>
    <xf borderId="7" fillId="0" fontId="12" numFmtId="0" xfId="0" applyAlignment="1" applyBorder="1" applyFont="1">
      <alignment shrinkToFit="0" wrapText="1"/>
    </xf>
    <xf borderId="7" fillId="0" fontId="3" numFmtId="9" xfId="0" applyAlignment="1" applyBorder="1" applyFont="1" applyNumberFormat="1">
      <alignment shrinkToFit="0" vertical="center" wrapText="1"/>
    </xf>
    <xf borderId="1" fillId="0" fontId="19" numFmtId="0" xfId="0" applyAlignment="1" applyBorder="1" applyFont="1">
      <alignment horizontal="left" shrinkToFit="0" vertical="center" wrapText="1"/>
    </xf>
    <xf borderId="7" fillId="3" fontId="7" numFmtId="0" xfId="0" applyAlignment="1" applyBorder="1" applyFill="1" applyFont="1">
      <alignment horizontal="center" shrinkToFit="0" vertical="center" wrapText="1"/>
    </xf>
    <xf borderId="7" fillId="0" fontId="20" numFmtId="0" xfId="0" applyAlignment="1" applyBorder="1" applyFont="1">
      <alignment horizontal="center" shrinkToFit="0" vertical="center" wrapText="1"/>
    </xf>
    <xf borderId="7" fillId="0" fontId="21" numFmtId="0" xfId="0" applyAlignment="1" applyBorder="1" applyFont="1">
      <alignment shrinkToFit="0" vertical="center" wrapText="1"/>
    </xf>
    <xf borderId="7" fillId="0" fontId="3" numFmtId="0" xfId="0" applyAlignment="1" applyBorder="1" applyFont="1">
      <alignment horizontal="center" shrinkToFit="0" vertical="center" wrapText="1"/>
    </xf>
    <xf borderId="7" fillId="0" fontId="22" numFmtId="0" xfId="0" applyAlignment="1" applyBorder="1" applyFont="1">
      <alignment shrinkToFit="0" vertical="center" wrapText="1"/>
    </xf>
    <xf borderId="7" fillId="0" fontId="23" numFmtId="0" xfId="0" applyAlignment="1" applyBorder="1" applyFont="1">
      <alignment shrinkToFit="0" vertical="center" wrapText="1"/>
    </xf>
    <xf borderId="0" fillId="0" fontId="3" numFmtId="0" xfId="0" applyAlignment="1" applyFont="1">
      <alignment shrinkToFit="0" vertical="center" wrapText="1"/>
    </xf>
    <xf borderId="13" fillId="0" fontId="3" numFmtId="0" xfId="0" applyAlignment="1" applyBorder="1" applyFont="1">
      <alignment shrinkToFit="0" vertical="center" wrapText="1"/>
    </xf>
    <xf borderId="1" fillId="0" fontId="24" numFmtId="0" xfId="0" applyAlignment="1" applyBorder="1" applyFont="1">
      <alignment horizontal="left" shrinkToFit="0" vertical="center" wrapText="1"/>
    </xf>
    <xf borderId="0" fillId="0" fontId="4" numFmtId="0" xfId="0" applyFont="1"/>
    <xf borderId="7" fillId="0" fontId="12" numFmtId="9" xfId="0" applyAlignment="1" applyBorder="1" applyFont="1" applyNumberFormat="1">
      <alignment shrinkToFit="0" vertical="center" wrapText="1"/>
    </xf>
    <xf borderId="7" fillId="0" fontId="12" numFmtId="0" xfId="0" applyAlignment="1" applyBorder="1" applyFont="1">
      <alignment shrinkToFit="0" vertical="top" wrapText="1"/>
    </xf>
    <xf borderId="7" fillId="4" fontId="3" numFmtId="0" xfId="0" applyAlignment="1" applyBorder="1" applyFill="1" applyFont="1">
      <alignment shrinkToFit="0" vertical="center" wrapText="1"/>
    </xf>
    <xf borderId="7" fillId="4" fontId="9" numFmtId="0" xfId="0" applyAlignment="1" applyBorder="1" applyFont="1">
      <alignment shrinkToFit="0" vertical="center" wrapText="1"/>
    </xf>
    <xf borderId="0" fillId="4" fontId="4" numFmtId="0" xfId="0" applyFont="1"/>
    <xf borderId="0" fillId="0" fontId="25" numFmtId="0" xfId="0" applyAlignment="1" applyFont="1">
      <alignment shrinkToFit="0" vertical="center" wrapText="1"/>
    </xf>
    <xf borderId="0" fillId="0" fontId="25" numFmtId="0" xfId="0" applyAlignment="1" applyFont="1">
      <alignment shrinkToFit="0" wrapText="1"/>
    </xf>
    <xf borderId="7" fillId="4" fontId="9" numFmtId="0" xfId="0" applyAlignment="1" applyBorder="1" applyFont="1">
      <alignment horizontal="left" shrinkToFit="0" vertical="center" wrapText="1"/>
    </xf>
    <xf borderId="14" fillId="2" fontId="26" numFmtId="0" xfId="0" applyAlignment="1" applyBorder="1" applyFont="1">
      <alignment shrinkToFit="0" vertical="bottom" wrapText="0"/>
    </xf>
    <xf borderId="15" fillId="2" fontId="27" numFmtId="0" xfId="0" applyAlignment="1" applyBorder="1" applyFont="1">
      <alignment shrinkToFit="0" vertical="bottom" wrapText="0"/>
    </xf>
    <xf borderId="16" fillId="2" fontId="27" numFmtId="0" xfId="0" applyAlignment="1" applyBorder="1" applyFont="1">
      <alignment shrinkToFit="0" vertical="bottom" wrapText="0"/>
    </xf>
    <xf borderId="15" fillId="2" fontId="28" numFmtId="0" xfId="0" applyAlignment="1" applyBorder="1" applyFont="1">
      <alignment shrinkToFit="0" vertical="bottom" wrapText="0"/>
    </xf>
    <xf borderId="16" fillId="2" fontId="28" numFmtId="0" xfId="0" applyAlignment="1" applyBorder="1" applyFont="1">
      <alignment shrinkToFit="0" vertical="bottom" wrapText="0"/>
    </xf>
    <xf borderId="17" fillId="0" fontId="12" numFmtId="0" xfId="0" applyAlignment="1" applyBorder="1" applyFont="1">
      <alignment horizontal="right"/>
    </xf>
    <xf borderId="17" fillId="0" fontId="28" numFmtId="0" xfId="0" applyAlignment="1" applyBorder="1" applyFont="1">
      <alignment horizontal="right"/>
    </xf>
    <xf borderId="17" fillId="0" fontId="12" numFmtId="0" xfId="0" applyAlignment="1" applyBorder="1" applyFont="1">
      <alignment horizontal="left" shrinkToFit="0" wrapText="1"/>
    </xf>
    <xf borderId="17" fillId="0" fontId="28" numFmtId="0" xfId="0" applyBorder="1" applyFont="1"/>
    <xf borderId="18" fillId="0" fontId="12" numFmtId="0" xfId="0" applyAlignment="1" applyBorder="1" applyFont="1">
      <alignment horizontal="right"/>
    </xf>
    <xf borderId="18" fillId="0" fontId="28" numFmtId="0" xfId="0" applyAlignment="1" applyBorder="1" applyFont="1">
      <alignment horizontal="right"/>
    </xf>
    <xf borderId="18" fillId="0" fontId="12" numFmtId="0" xfId="0" applyAlignment="1" applyBorder="1" applyFont="1">
      <alignment shrinkToFit="0" vertical="center" wrapText="1"/>
    </xf>
    <xf borderId="18" fillId="0" fontId="12" numFmtId="0" xfId="0" applyAlignment="1" applyBorder="1" applyFont="1">
      <alignment shrinkToFit="0" wrapText="1"/>
    </xf>
    <xf borderId="18" fillId="0" fontId="28" numFmtId="0" xfId="0" applyBorder="1" applyFont="1"/>
    <xf borderId="16" fillId="0" fontId="12" numFmtId="0" xfId="0" applyAlignment="1" applyBorder="1" applyFont="1">
      <alignment horizontal="right"/>
    </xf>
    <xf borderId="16" fillId="0" fontId="28" numFmtId="0" xfId="0" applyAlignment="1" applyBorder="1" applyFont="1">
      <alignment horizontal="right"/>
    </xf>
    <xf borderId="16" fillId="0" fontId="12" numFmtId="0" xfId="0" applyAlignment="1" applyBorder="1" applyFont="1">
      <alignment shrinkToFit="0" wrapText="1"/>
    </xf>
    <xf borderId="16" fillId="0" fontId="28" numFmtId="0" xfId="0" applyBorder="1" applyFont="1"/>
    <xf borderId="17" fillId="0" fontId="12" numFmtId="0" xfId="0" applyAlignment="1" applyBorder="1" applyFont="1">
      <alignment shrinkToFit="0" wrapText="1"/>
    </xf>
    <xf borderId="0" fillId="0" fontId="28" numFmtId="0" xfId="0" applyFont="1"/>
    <xf borderId="0" fillId="0" fontId="28" numFmtId="0" xfId="0" applyAlignment="1" applyFont="1">
      <alignment shrinkToFit="0" vertical="bottom" wrapText="0"/>
    </xf>
    <xf borderId="19" fillId="0" fontId="12" numFmtId="0" xfId="0" applyAlignment="1" applyBorder="1" applyFont="1">
      <alignment horizontal="left" shrinkToFit="0" vertical="center" wrapText="1"/>
    </xf>
    <xf borderId="7" fillId="0" fontId="28" numFmtId="0" xfId="0" applyBorder="1" applyFont="1"/>
    <xf borderId="19" fillId="0" fontId="28" numFmtId="0" xfId="0" applyBorder="1" applyFont="1"/>
    <xf borderId="19" fillId="0" fontId="12" numFmtId="0" xfId="0" applyAlignment="1" applyBorder="1" applyFont="1">
      <alignment shrinkToFit="0" wrapText="1"/>
    </xf>
    <xf borderId="7" fillId="0" fontId="12" numFmtId="0" xfId="0" applyBorder="1" applyFont="1"/>
    <xf borderId="11" fillId="0" fontId="9" numFmtId="0" xfId="0" applyAlignment="1" applyBorder="1" applyFont="1">
      <alignment shrinkToFit="0" vertical="center" wrapText="1"/>
    </xf>
    <xf borderId="7" fillId="0" fontId="9" numFmtId="10" xfId="0" applyAlignment="1" applyBorder="1" applyFont="1" applyNumberFormat="1">
      <alignment shrinkToFit="0" vertical="center" wrapText="1"/>
    </xf>
    <xf borderId="11" fillId="3" fontId="9" numFmtId="0" xfId="0" applyAlignment="1" applyBorder="1" applyFont="1">
      <alignment shrinkToFit="0" vertical="center" wrapText="1"/>
    </xf>
    <xf borderId="7" fillId="3" fontId="9" numFmtId="0" xfId="0" applyAlignment="1" applyBorder="1" applyFont="1">
      <alignment shrinkToFit="0" vertical="center" wrapText="1"/>
    </xf>
    <xf borderId="11" fillId="3" fontId="9" numFmtId="0" xfId="0" applyAlignment="1" applyBorder="1" applyFont="1">
      <alignment horizontal="left" shrinkToFit="0" vertical="center" wrapText="1"/>
    </xf>
    <xf borderId="0" fillId="0" fontId="25" numFmtId="0" xfId="0" applyFont="1"/>
    <xf borderId="7" fillId="5" fontId="9" numFmtId="0" xfId="0" applyAlignment="1" applyBorder="1" applyFill="1" applyFont="1">
      <alignment shrinkToFit="0" vertical="center" wrapText="1"/>
    </xf>
    <xf borderId="7" fillId="0" fontId="25" numFmtId="0" xfId="0" applyAlignment="1" applyBorder="1" applyFont="1">
      <alignment shrinkToFit="0" wrapText="1"/>
    </xf>
    <xf borderId="7" fillId="5" fontId="9" numFmtId="9" xfId="0" applyAlignment="1" applyBorder="1" applyFont="1" applyNumberFormat="1">
      <alignment shrinkToFit="0" vertical="center" wrapText="1"/>
    </xf>
    <xf borderId="7" fillId="6" fontId="9" numFmtId="0" xfId="0" applyAlignment="1" applyBorder="1" applyFill="1" applyFont="1">
      <alignment shrinkToFit="0" vertical="center" wrapText="1"/>
    </xf>
    <xf borderId="7" fillId="0" fontId="9" numFmtId="4" xfId="0" applyAlignment="1" applyBorder="1" applyFont="1" applyNumberFormat="1">
      <alignment shrinkToFit="0" vertical="center" wrapText="1"/>
    </xf>
    <xf borderId="7" fillId="0" fontId="3" numFmtId="4" xfId="0" applyAlignment="1" applyBorder="1" applyFont="1" applyNumberFormat="1">
      <alignment shrinkToFit="0" vertical="center" wrapText="1"/>
    </xf>
    <xf borderId="7" fillId="4" fontId="9" numFmtId="164" xfId="0" applyAlignment="1" applyBorder="1" applyFont="1" applyNumberFormat="1">
      <alignment shrinkToFit="0" vertical="center" wrapText="1"/>
    </xf>
    <xf borderId="7" fillId="4" fontId="3" numFmtId="164" xfId="0" applyAlignment="1" applyBorder="1" applyFont="1" applyNumberFormat="1">
      <alignment shrinkToFit="0" vertical="center" wrapText="1"/>
    </xf>
    <xf borderId="7" fillId="4" fontId="9" numFmtId="9" xfId="0" applyAlignment="1" applyBorder="1" applyFont="1" applyNumberFormat="1">
      <alignment shrinkToFit="0" vertical="center" wrapText="1"/>
    </xf>
    <xf borderId="7" fillId="7" fontId="9" numFmtId="0" xfId="0" applyAlignment="1" applyBorder="1" applyFill="1" applyFont="1">
      <alignment shrinkToFit="0" vertical="center" wrapText="1"/>
    </xf>
    <xf borderId="7" fillId="8" fontId="12" numFmtId="0" xfId="0" applyAlignment="1" applyBorder="1" applyFill="1" applyFont="1">
      <alignment shrinkToFit="0" wrapText="1"/>
    </xf>
    <xf borderId="7" fillId="0" fontId="25" numFmtId="0" xfId="0" applyAlignment="1" applyBorder="1" applyFont="1">
      <alignment horizontal="left" shrinkToFit="0" wrapText="1"/>
    </xf>
    <xf borderId="7" fillId="0" fontId="4" numFmtId="0" xfId="0" applyAlignment="1" applyBorder="1" applyFont="1">
      <alignment shrinkToFit="0" vertical="center" wrapText="1"/>
    </xf>
    <xf borderId="7" fillId="0" fontId="25" numFmtId="0" xfId="0" applyAlignment="1" applyBorder="1" applyFont="1">
      <alignment shrinkToFit="0" vertical="top" wrapText="1"/>
    </xf>
    <xf borderId="0" fillId="0" fontId="25" numFmtId="0" xfId="0" applyAlignment="1" applyFont="1">
      <alignment shrinkToFit="0" vertical="top" wrapText="1"/>
    </xf>
    <xf borderId="0" fillId="0" fontId="7" numFmtId="0" xfId="0" applyAlignment="1" applyFont="1">
      <alignment horizontal="center" shrinkToFit="0" vertical="center" wrapText="1"/>
    </xf>
    <xf borderId="7" fillId="4" fontId="18" numFmtId="0" xfId="0" applyAlignment="1" applyBorder="1" applyFont="1">
      <alignment horizontal="center" shrinkToFit="0" vertical="center" wrapText="1"/>
    </xf>
    <xf borderId="7" fillId="9" fontId="3" numFmtId="0" xfId="0" applyAlignment="1" applyBorder="1" applyFill="1" applyFont="1">
      <alignment shrinkToFit="0" vertical="center" wrapText="1"/>
    </xf>
    <xf borderId="7" fillId="0" fontId="22" numFmtId="10" xfId="0" applyAlignment="1" applyBorder="1" applyFont="1" applyNumberFormat="1">
      <alignment shrinkToFit="0" vertical="center" wrapText="1"/>
    </xf>
    <xf borderId="7" fillId="0" fontId="25" numFmtId="0" xfId="0" applyAlignment="1" applyBorder="1" applyFont="1">
      <alignment horizontal="right" vertical="center"/>
    </xf>
    <xf borderId="7" fillId="0" fontId="9" numFmtId="9" xfId="0" applyAlignment="1" applyBorder="1" applyFont="1" applyNumberFormat="1">
      <alignment horizontal="right" shrinkToFit="0" vertical="center" wrapText="1"/>
    </xf>
    <xf borderId="7" fillId="0" fontId="9" numFmtId="0" xfId="0" applyAlignment="1" applyBorder="1" applyFont="1">
      <alignment horizontal="right" shrinkToFit="0" vertical="center" wrapText="1"/>
    </xf>
    <xf borderId="20" fillId="0" fontId="9" numFmtId="0" xfId="0" applyAlignment="1" applyBorder="1" applyFont="1">
      <alignment shrinkToFit="0" vertical="center" wrapText="1"/>
    </xf>
    <xf borderId="1" fillId="0" fontId="29" numFmtId="0" xfId="0" applyAlignment="1" applyBorder="1" applyFont="1">
      <alignment horizontal="left" shrinkToFit="0" vertical="center" wrapText="1"/>
    </xf>
    <xf borderId="21" fillId="2" fontId="5" numFmtId="0" xfId="0" applyBorder="1" applyFont="1"/>
    <xf borderId="22" fillId="2" fontId="6" numFmtId="0" xfId="0" applyBorder="1" applyFont="1"/>
    <xf borderId="23" fillId="2" fontId="6" numFmtId="0" xfId="0" applyBorder="1" applyFont="1"/>
    <xf borderId="24" fillId="2" fontId="6" numFmtId="0" xfId="0" applyBorder="1" applyFont="1"/>
    <xf borderId="22" fillId="2" fontId="3" numFmtId="0" xfId="0" applyBorder="1" applyFont="1"/>
    <xf borderId="25" fillId="2" fontId="3" numFmtId="0" xfId="0" applyBorder="1" applyFont="1"/>
    <xf borderId="26" fillId="0" fontId="7" numFmtId="0" xfId="0" applyAlignment="1" applyBorder="1" applyFont="1">
      <alignment horizontal="center" shrinkToFit="0" vertical="center" wrapText="1"/>
    </xf>
    <xf borderId="27" fillId="0" fontId="7" numFmtId="0" xfId="0" applyAlignment="1" applyBorder="1" applyFont="1">
      <alignment horizontal="center" shrinkToFit="0" vertical="center" wrapText="1"/>
    </xf>
    <xf borderId="28" fillId="0" fontId="7" numFmtId="0" xfId="0" applyAlignment="1" applyBorder="1" applyFont="1">
      <alignment horizontal="center" shrinkToFit="0" vertical="center" wrapText="1"/>
    </xf>
    <xf borderId="7" fillId="0" fontId="9" numFmtId="9" xfId="0" applyAlignment="1" applyBorder="1" applyFont="1" applyNumberFormat="1">
      <alignment horizontal="center" shrinkToFit="0" vertical="center" wrapText="1"/>
    </xf>
    <xf borderId="7" fillId="8" fontId="3" numFmtId="9" xfId="0" applyAlignment="1" applyBorder="1" applyFont="1" applyNumberFormat="1">
      <alignment horizontal="center" shrinkToFit="0" vertical="center" wrapText="1"/>
    </xf>
    <xf borderId="7" fillId="0" fontId="9" numFmtId="0" xfId="0" applyAlignment="1" applyBorder="1" applyFont="1">
      <alignment horizontal="center" shrinkToFit="0" vertical="center" wrapText="1"/>
    </xf>
    <xf borderId="7" fillId="0" fontId="12" numFmtId="0" xfId="0" applyAlignment="1" applyBorder="1" applyFont="1">
      <alignment horizontal="center" shrinkToFit="0" vertical="center" wrapText="1"/>
    </xf>
    <xf borderId="7" fillId="0" fontId="12" numFmtId="49" xfId="0" applyAlignment="1" applyBorder="1" applyFont="1" applyNumberFormat="1">
      <alignment horizontal="center" shrinkToFit="0" vertical="center" wrapText="1"/>
    </xf>
    <xf borderId="7" fillId="10" fontId="9" numFmtId="9" xfId="0" applyAlignment="1" applyBorder="1" applyFill="1" applyFont="1" applyNumberFormat="1">
      <alignment horizontal="center" shrinkToFit="0" vertical="center" wrapText="1"/>
    </xf>
    <xf borderId="0" fillId="0" fontId="3" numFmtId="0" xfId="0" applyAlignment="1" applyFont="1">
      <alignment horizontal="left" shrinkToFit="0" vertical="center" wrapText="1"/>
    </xf>
    <xf borderId="29" fillId="2" fontId="5" numFmtId="0" xfId="0" applyBorder="1" applyFont="1"/>
    <xf borderId="30" fillId="2" fontId="6" numFmtId="0" xfId="0" applyBorder="1" applyFont="1"/>
    <xf borderId="31" fillId="2" fontId="6" numFmtId="0" xfId="0" applyBorder="1" applyFont="1"/>
    <xf borderId="32" fillId="2" fontId="6" numFmtId="0" xfId="0" applyBorder="1" applyFont="1"/>
    <xf borderId="30" fillId="2" fontId="3" numFmtId="0" xfId="0" applyBorder="1" applyFont="1"/>
    <xf borderId="32" fillId="2" fontId="3" numFmtId="0" xfId="0" applyBorder="1" applyFont="1"/>
    <xf borderId="7" fillId="0" fontId="12" numFmtId="0" xfId="0" applyAlignment="1" applyBorder="1" applyFont="1">
      <alignment horizontal="left" shrinkToFit="0" vertical="center" wrapText="1"/>
    </xf>
    <xf borderId="7" fillId="0" fontId="9" numFmtId="49" xfId="0" applyAlignment="1" applyBorder="1" applyFont="1" applyNumberFormat="1">
      <alignment horizontal="center" shrinkToFit="0" vertical="center" wrapText="1"/>
    </xf>
    <xf borderId="7" fillId="11" fontId="9" numFmtId="9" xfId="0" applyAlignment="1" applyBorder="1" applyFill="1" applyFont="1" applyNumberFormat="1">
      <alignment horizontal="center" shrinkToFit="0" vertical="center" wrapText="1"/>
    </xf>
    <xf borderId="7" fillId="12" fontId="9" numFmtId="9" xfId="0" applyAlignment="1" applyBorder="1" applyFill="1" applyFont="1" applyNumberFormat="1">
      <alignment horizontal="center" shrinkToFit="0" vertical="center" wrapText="1"/>
    </xf>
    <xf borderId="7" fillId="0" fontId="22" numFmtId="0" xfId="0" applyAlignment="1" applyBorder="1" applyFont="1">
      <alignment horizontal="left" shrinkToFit="0" vertical="center" wrapText="1"/>
    </xf>
    <xf borderId="11" fillId="0" fontId="22" numFmtId="0" xfId="0" applyAlignment="1" applyBorder="1" applyFont="1">
      <alignment horizontal="left" shrinkToFit="0" vertical="center" wrapText="1"/>
    </xf>
    <xf borderId="7" fillId="0" fontId="14" numFmtId="0" xfId="0" applyAlignment="1" applyBorder="1" applyFont="1">
      <alignment horizontal="center"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63"/>
    <col customWidth="1" min="2" max="2" width="43.0"/>
    <col customWidth="1" min="3" max="3" width="18.5"/>
    <col customWidth="1" min="4" max="6" width="9.13"/>
    <col customWidth="1" min="7" max="8" width="9.88"/>
    <col customWidth="1" min="9" max="9" width="21.13"/>
    <col customWidth="1" min="10" max="10" width="11.0"/>
    <col customWidth="1" min="11" max="11" width="31.5"/>
    <col customWidth="1" min="12" max="12" width="22.88"/>
    <col customWidth="1" min="13" max="13" width="33.75"/>
    <col customWidth="1" min="14" max="14" width="22.13"/>
    <col customWidth="1" min="15" max="15" width="21.88"/>
    <col customWidth="1" min="16" max="26" width="10.63"/>
  </cols>
  <sheetData>
    <row r="1" ht="32.25" customHeight="1">
      <c r="A1" s="1" t="s">
        <v>0</v>
      </c>
      <c r="B1" s="2"/>
      <c r="C1" s="2"/>
      <c r="D1" s="2"/>
      <c r="E1" s="2"/>
      <c r="F1" s="2"/>
      <c r="G1" s="2"/>
      <c r="H1" s="2"/>
      <c r="I1" s="2"/>
      <c r="J1" s="2"/>
      <c r="K1" s="2"/>
      <c r="L1" s="3"/>
      <c r="M1" s="3"/>
      <c r="N1" s="3"/>
      <c r="O1" s="4"/>
      <c r="P1" s="5"/>
      <c r="Q1" s="5"/>
      <c r="R1" s="5"/>
      <c r="S1" s="5"/>
      <c r="T1" s="5"/>
      <c r="U1" s="5"/>
      <c r="V1" s="5"/>
      <c r="W1" s="5"/>
      <c r="X1" s="5"/>
      <c r="Y1" s="5"/>
      <c r="Z1" s="5"/>
    </row>
    <row r="2" ht="14.25" customHeight="1">
      <c r="A2" s="5"/>
      <c r="B2" s="5"/>
      <c r="C2" s="5"/>
      <c r="D2" s="5"/>
      <c r="E2" s="5"/>
      <c r="F2" s="5"/>
      <c r="G2" s="5"/>
      <c r="H2" s="5"/>
      <c r="I2" s="5"/>
      <c r="J2" s="5"/>
      <c r="K2" s="5"/>
      <c r="L2" s="5"/>
      <c r="M2" s="5"/>
      <c r="N2" s="5"/>
      <c r="O2" s="5"/>
      <c r="P2" s="5"/>
      <c r="Q2" s="5"/>
      <c r="R2" s="5"/>
      <c r="S2" s="5"/>
      <c r="T2" s="5"/>
      <c r="U2" s="5"/>
      <c r="V2" s="5"/>
      <c r="W2" s="5"/>
      <c r="X2" s="5"/>
      <c r="Y2" s="5"/>
      <c r="Z2" s="5"/>
    </row>
    <row r="3" ht="14.25" customHeight="1">
      <c r="A3" s="6" t="s">
        <v>1</v>
      </c>
      <c r="B3" s="7"/>
      <c r="C3" s="7"/>
      <c r="D3" s="7"/>
      <c r="E3" s="7"/>
      <c r="F3" s="7"/>
      <c r="G3" s="7"/>
      <c r="H3" s="7"/>
      <c r="I3" s="7"/>
      <c r="J3" s="7"/>
      <c r="K3" s="7"/>
      <c r="L3" s="8"/>
      <c r="M3" s="8"/>
      <c r="N3" s="8"/>
      <c r="O3" s="8"/>
      <c r="P3" s="5"/>
      <c r="Q3" s="5"/>
      <c r="R3" s="5"/>
      <c r="S3" s="5"/>
      <c r="T3" s="5"/>
      <c r="U3" s="5"/>
      <c r="V3" s="5"/>
      <c r="W3" s="5"/>
      <c r="X3" s="5"/>
      <c r="Y3" s="5"/>
      <c r="Z3" s="5"/>
    </row>
    <row r="4" ht="14.25" customHeight="1">
      <c r="A4" s="9" t="s">
        <v>2</v>
      </c>
      <c r="B4" s="10" t="s">
        <v>3</v>
      </c>
      <c r="C4" s="10" t="s">
        <v>4</v>
      </c>
      <c r="D4" s="11" t="s">
        <v>5</v>
      </c>
      <c r="E4" s="10" t="s">
        <v>6</v>
      </c>
      <c r="F4" s="10" t="s">
        <v>7</v>
      </c>
      <c r="G4" s="10" t="s">
        <v>8</v>
      </c>
      <c r="H4" s="12" t="s">
        <v>9</v>
      </c>
      <c r="I4" s="12" t="s">
        <v>10</v>
      </c>
      <c r="J4" s="13" t="s">
        <v>11</v>
      </c>
      <c r="K4" s="14" t="s">
        <v>12</v>
      </c>
      <c r="L4" s="15" t="s">
        <v>13</v>
      </c>
      <c r="M4" s="10" t="s">
        <v>14</v>
      </c>
      <c r="N4" s="10" t="s">
        <v>15</v>
      </c>
      <c r="O4" s="14" t="s">
        <v>16</v>
      </c>
      <c r="P4" s="5"/>
      <c r="Q4" s="5"/>
      <c r="R4" s="5"/>
      <c r="S4" s="5"/>
      <c r="T4" s="5"/>
      <c r="U4" s="5"/>
      <c r="V4" s="5"/>
      <c r="W4" s="5"/>
      <c r="X4" s="5"/>
      <c r="Y4" s="5"/>
      <c r="Z4" s="5"/>
    </row>
    <row r="5" ht="64.5" customHeight="1">
      <c r="A5" s="16" t="s">
        <v>17</v>
      </c>
      <c r="B5" s="17" t="s">
        <v>18</v>
      </c>
      <c r="C5" s="17">
        <v>0.0</v>
      </c>
      <c r="D5" s="18">
        <v>3.0</v>
      </c>
      <c r="E5" s="18">
        <v>5.0</v>
      </c>
      <c r="F5" s="17">
        <v>0.0</v>
      </c>
      <c r="G5" s="17">
        <v>0.0</v>
      </c>
      <c r="H5" s="17">
        <f t="shared" ref="H5:H12" si="1">+D5+E5+F5+G5</f>
        <v>8</v>
      </c>
      <c r="I5" s="17">
        <v>9.0</v>
      </c>
      <c r="J5" s="19">
        <f t="shared" ref="J5:J12" si="2">H5/I5</f>
        <v>0.8888888889</v>
      </c>
      <c r="K5" s="17" t="s">
        <v>19</v>
      </c>
      <c r="L5" s="18" t="s">
        <v>20</v>
      </c>
      <c r="M5" s="18" t="s">
        <v>21</v>
      </c>
      <c r="N5" s="17"/>
      <c r="O5" s="17"/>
      <c r="P5" s="5"/>
      <c r="Q5" s="5"/>
      <c r="R5" s="5"/>
      <c r="S5" s="5"/>
      <c r="T5" s="5"/>
      <c r="U5" s="5"/>
      <c r="V5" s="5"/>
      <c r="W5" s="5"/>
      <c r="X5" s="5"/>
      <c r="Y5" s="5"/>
      <c r="Z5" s="5"/>
    </row>
    <row r="6" ht="64.5" customHeight="1">
      <c r="A6" s="16" t="s">
        <v>17</v>
      </c>
      <c r="B6" s="17" t="s">
        <v>22</v>
      </c>
      <c r="C6" s="17" t="s">
        <v>23</v>
      </c>
      <c r="D6" s="18">
        <v>0.3</v>
      </c>
      <c r="E6" s="18">
        <v>2.0</v>
      </c>
      <c r="F6" s="17">
        <v>0.0</v>
      </c>
      <c r="G6" s="17">
        <v>0.0</v>
      </c>
      <c r="H6" s="17">
        <f t="shared" si="1"/>
        <v>2.3</v>
      </c>
      <c r="I6" s="17">
        <v>3.0</v>
      </c>
      <c r="J6" s="19">
        <f t="shared" si="2"/>
        <v>0.7666666667</v>
      </c>
      <c r="K6" s="17" t="s">
        <v>24</v>
      </c>
      <c r="L6" s="18" t="s">
        <v>25</v>
      </c>
      <c r="M6" s="18" t="s">
        <v>26</v>
      </c>
      <c r="N6" s="17"/>
      <c r="O6" s="17"/>
      <c r="P6" s="5"/>
      <c r="Q6" s="5"/>
      <c r="R6" s="5"/>
      <c r="S6" s="5"/>
      <c r="T6" s="5"/>
      <c r="U6" s="5"/>
      <c r="V6" s="5"/>
      <c r="W6" s="5"/>
      <c r="X6" s="5"/>
      <c r="Y6" s="5"/>
      <c r="Z6" s="5"/>
    </row>
    <row r="7" ht="64.5" customHeight="1">
      <c r="A7" s="16" t="s">
        <v>17</v>
      </c>
      <c r="B7" s="17" t="s">
        <v>27</v>
      </c>
      <c r="C7" s="17"/>
      <c r="D7" s="18">
        <v>0.2</v>
      </c>
      <c r="E7" s="18">
        <v>0.4</v>
      </c>
      <c r="F7" s="17">
        <v>0.0</v>
      </c>
      <c r="G7" s="17">
        <v>0.0</v>
      </c>
      <c r="H7" s="17">
        <f t="shared" si="1"/>
        <v>0.6</v>
      </c>
      <c r="I7" s="17">
        <v>1.0</v>
      </c>
      <c r="J7" s="19">
        <f t="shared" si="2"/>
        <v>0.6</v>
      </c>
      <c r="K7" s="17" t="s">
        <v>28</v>
      </c>
      <c r="L7" s="18" t="s">
        <v>29</v>
      </c>
      <c r="M7" s="18" t="s">
        <v>30</v>
      </c>
      <c r="N7" s="17"/>
      <c r="O7" s="17"/>
      <c r="P7" s="5"/>
      <c r="Q7" s="5"/>
      <c r="R7" s="5"/>
      <c r="S7" s="5"/>
      <c r="T7" s="5"/>
      <c r="U7" s="5"/>
      <c r="V7" s="5"/>
      <c r="W7" s="5"/>
      <c r="X7" s="5"/>
      <c r="Y7" s="5"/>
      <c r="Z7" s="5"/>
    </row>
    <row r="8" ht="64.5" customHeight="1">
      <c r="A8" s="16" t="s">
        <v>17</v>
      </c>
      <c r="B8" s="17" t="s">
        <v>31</v>
      </c>
      <c r="C8" s="17" t="s">
        <v>32</v>
      </c>
      <c r="D8" s="18">
        <v>0.4</v>
      </c>
      <c r="E8" s="18">
        <v>0.8</v>
      </c>
      <c r="F8" s="17">
        <v>0.0</v>
      </c>
      <c r="G8" s="17">
        <v>0.0</v>
      </c>
      <c r="H8" s="17">
        <f t="shared" si="1"/>
        <v>1.2</v>
      </c>
      <c r="I8" s="17">
        <v>2.0</v>
      </c>
      <c r="J8" s="19">
        <f t="shared" si="2"/>
        <v>0.6</v>
      </c>
      <c r="K8" s="17" t="s">
        <v>33</v>
      </c>
      <c r="L8" s="18" t="s">
        <v>34</v>
      </c>
      <c r="M8" s="18" t="s">
        <v>35</v>
      </c>
      <c r="N8" s="17"/>
      <c r="O8" s="17"/>
      <c r="P8" s="5"/>
      <c r="Q8" s="5"/>
      <c r="R8" s="5"/>
      <c r="S8" s="5"/>
      <c r="T8" s="5"/>
      <c r="U8" s="5"/>
      <c r="V8" s="5"/>
      <c r="W8" s="5"/>
      <c r="X8" s="5"/>
      <c r="Y8" s="5"/>
      <c r="Z8" s="5"/>
    </row>
    <row r="9" ht="64.5" customHeight="1">
      <c r="A9" s="20" t="s">
        <v>36</v>
      </c>
      <c r="B9" s="17" t="s">
        <v>37</v>
      </c>
      <c r="C9" s="17">
        <v>0.0</v>
      </c>
      <c r="D9" s="18">
        <v>0.8</v>
      </c>
      <c r="E9" s="18">
        <v>2.0</v>
      </c>
      <c r="F9" s="17">
        <v>0.0</v>
      </c>
      <c r="G9" s="17">
        <v>0.0</v>
      </c>
      <c r="H9" s="17">
        <f t="shared" si="1"/>
        <v>2.8</v>
      </c>
      <c r="I9" s="17">
        <v>4.0</v>
      </c>
      <c r="J9" s="19">
        <f t="shared" si="2"/>
        <v>0.7</v>
      </c>
      <c r="K9" s="17" t="s">
        <v>38</v>
      </c>
      <c r="L9" s="18" t="s">
        <v>39</v>
      </c>
      <c r="M9" s="18" t="s">
        <v>40</v>
      </c>
      <c r="N9" s="17"/>
      <c r="O9" s="17"/>
      <c r="P9" s="5"/>
      <c r="Q9" s="5"/>
      <c r="R9" s="5"/>
      <c r="S9" s="5"/>
      <c r="T9" s="5"/>
      <c r="U9" s="5"/>
      <c r="V9" s="5"/>
      <c r="W9" s="5"/>
      <c r="X9" s="5"/>
      <c r="Y9" s="5"/>
      <c r="Z9" s="5"/>
    </row>
    <row r="10" ht="64.5" customHeight="1">
      <c r="A10" s="20" t="s">
        <v>41</v>
      </c>
      <c r="B10" s="17" t="s">
        <v>42</v>
      </c>
      <c r="C10" s="21">
        <v>50.0</v>
      </c>
      <c r="D10" s="18">
        <v>49.0</v>
      </c>
      <c r="E10" s="18">
        <v>44.0</v>
      </c>
      <c r="F10" s="17">
        <v>0.0</v>
      </c>
      <c r="G10" s="17">
        <v>0.0</v>
      </c>
      <c r="H10" s="17">
        <f t="shared" si="1"/>
        <v>93</v>
      </c>
      <c r="I10" s="17">
        <v>150.0</v>
      </c>
      <c r="J10" s="19">
        <f t="shared" si="2"/>
        <v>0.62</v>
      </c>
      <c r="K10" s="17" t="s">
        <v>43</v>
      </c>
      <c r="L10" s="18" t="s">
        <v>44</v>
      </c>
      <c r="M10" s="18" t="s">
        <v>45</v>
      </c>
      <c r="N10" s="17"/>
      <c r="O10" s="17"/>
      <c r="P10" s="5"/>
      <c r="Q10" s="5"/>
      <c r="R10" s="5"/>
      <c r="S10" s="5"/>
      <c r="T10" s="5"/>
      <c r="U10" s="5"/>
      <c r="V10" s="5"/>
      <c r="W10" s="5"/>
      <c r="X10" s="5"/>
      <c r="Y10" s="5"/>
      <c r="Z10" s="5"/>
    </row>
    <row r="11" ht="64.5" customHeight="1">
      <c r="A11" s="20" t="s">
        <v>41</v>
      </c>
      <c r="B11" s="17" t="s">
        <v>46</v>
      </c>
      <c r="C11" s="18">
        <v>0.0</v>
      </c>
      <c r="D11" s="18">
        <v>0.15</v>
      </c>
      <c r="E11" s="18">
        <v>0.5</v>
      </c>
      <c r="F11" s="17">
        <v>0.0</v>
      </c>
      <c r="G11" s="17">
        <v>0.0</v>
      </c>
      <c r="H11" s="17">
        <f t="shared" si="1"/>
        <v>0.65</v>
      </c>
      <c r="I11" s="17">
        <v>1.0</v>
      </c>
      <c r="J11" s="19">
        <f t="shared" si="2"/>
        <v>0.65</v>
      </c>
      <c r="K11" s="17" t="s">
        <v>47</v>
      </c>
      <c r="L11" s="18" t="s">
        <v>48</v>
      </c>
      <c r="M11" s="18" t="s">
        <v>49</v>
      </c>
      <c r="N11" s="17"/>
      <c r="O11" s="17"/>
      <c r="P11" s="5"/>
      <c r="Q11" s="5"/>
      <c r="R11" s="5"/>
      <c r="S11" s="5"/>
      <c r="T11" s="5"/>
      <c r="U11" s="5"/>
      <c r="V11" s="5"/>
      <c r="W11" s="5"/>
      <c r="X11" s="5"/>
      <c r="Y11" s="5"/>
      <c r="Z11" s="5"/>
    </row>
    <row r="12" ht="64.5" customHeight="1">
      <c r="A12" s="20" t="s">
        <v>41</v>
      </c>
      <c r="B12" s="17" t="s">
        <v>50</v>
      </c>
      <c r="C12" s="17">
        <v>0.0</v>
      </c>
      <c r="D12" s="17">
        <v>0.0</v>
      </c>
      <c r="E12" s="18">
        <v>0.4</v>
      </c>
      <c r="F12" s="17">
        <v>0.0</v>
      </c>
      <c r="G12" s="17">
        <v>0.0</v>
      </c>
      <c r="H12" s="17">
        <f t="shared" si="1"/>
        <v>0.4</v>
      </c>
      <c r="I12" s="17">
        <v>1.0</v>
      </c>
      <c r="J12" s="19">
        <f t="shared" si="2"/>
        <v>0.4</v>
      </c>
      <c r="K12" s="17" t="s">
        <v>51</v>
      </c>
      <c r="L12" s="17"/>
      <c r="M12" s="18" t="s">
        <v>52</v>
      </c>
      <c r="N12" s="17"/>
      <c r="O12" s="17"/>
      <c r="P12" s="5"/>
      <c r="Q12" s="5"/>
      <c r="R12" s="5"/>
      <c r="S12" s="5"/>
      <c r="T12" s="5"/>
      <c r="U12" s="5"/>
      <c r="V12" s="5"/>
      <c r="W12" s="5"/>
      <c r="X12" s="5"/>
      <c r="Y12" s="5"/>
      <c r="Z12" s="5"/>
    </row>
    <row r="13" ht="64.5" customHeight="1">
      <c r="A13" s="22"/>
      <c r="B13" s="22"/>
      <c r="C13" s="22"/>
      <c r="D13" s="22"/>
      <c r="E13" s="22"/>
      <c r="F13" s="22"/>
      <c r="G13" s="22"/>
      <c r="H13" s="22"/>
      <c r="I13" s="22"/>
      <c r="J13" s="22"/>
      <c r="K13" s="22"/>
      <c r="L13" s="22"/>
      <c r="M13" s="22"/>
      <c r="N13" s="22"/>
      <c r="O13" s="22"/>
      <c r="P13" s="5"/>
      <c r="Q13" s="5"/>
      <c r="R13" s="5"/>
      <c r="S13" s="5"/>
      <c r="T13" s="5"/>
      <c r="U13" s="5"/>
      <c r="V13" s="5"/>
      <c r="W13" s="5"/>
      <c r="X13" s="5"/>
      <c r="Y13" s="5"/>
      <c r="Z13" s="5"/>
    </row>
    <row r="14" ht="64.5" customHeight="1">
      <c r="A14" s="23" t="s">
        <v>53</v>
      </c>
      <c r="B14" s="24"/>
      <c r="C14" s="24"/>
      <c r="D14" s="24"/>
      <c r="E14" s="24"/>
      <c r="F14" s="24"/>
      <c r="G14" s="24"/>
      <c r="H14" s="24"/>
      <c r="I14" s="24"/>
      <c r="J14" s="24"/>
      <c r="K14" s="24"/>
      <c r="L14" s="25"/>
      <c r="M14" s="25"/>
      <c r="N14" s="25"/>
      <c r="O14" s="25"/>
      <c r="P14" s="5"/>
      <c r="Q14" s="5"/>
      <c r="R14" s="5"/>
      <c r="S14" s="5"/>
      <c r="T14" s="5"/>
      <c r="U14" s="5"/>
      <c r="V14" s="5"/>
      <c r="W14" s="5"/>
      <c r="X14" s="5"/>
      <c r="Y14" s="5"/>
      <c r="Z14" s="5"/>
    </row>
    <row r="15" ht="64.5" customHeight="1">
      <c r="A15" s="11" t="s">
        <v>2</v>
      </c>
      <c r="B15" s="11" t="s">
        <v>3</v>
      </c>
      <c r="C15" s="11" t="s">
        <v>4</v>
      </c>
      <c r="D15" s="11" t="s">
        <v>54</v>
      </c>
      <c r="E15" s="11" t="s">
        <v>55</v>
      </c>
      <c r="F15" s="11" t="s">
        <v>56</v>
      </c>
      <c r="G15" s="11" t="s">
        <v>57</v>
      </c>
      <c r="H15" s="11" t="s">
        <v>9</v>
      </c>
      <c r="I15" s="11" t="s">
        <v>10</v>
      </c>
      <c r="J15" s="26" t="s">
        <v>58</v>
      </c>
      <c r="K15" s="11" t="s">
        <v>12</v>
      </c>
      <c r="L15" s="11" t="s">
        <v>59</v>
      </c>
      <c r="M15" s="11" t="s">
        <v>60</v>
      </c>
      <c r="N15" s="11" t="s">
        <v>61</v>
      </c>
      <c r="O15" s="11" t="s">
        <v>62</v>
      </c>
      <c r="P15" s="5"/>
      <c r="Q15" s="5"/>
      <c r="R15" s="5"/>
      <c r="S15" s="5"/>
      <c r="T15" s="5"/>
      <c r="U15" s="5"/>
      <c r="V15" s="5"/>
      <c r="W15" s="5"/>
      <c r="X15" s="5"/>
      <c r="Y15" s="5"/>
      <c r="Z15" s="5"/>
    </row>
    <row r="16" ht="64.5" customHeight="1">
      <c r="A16" s="20" t="s">
        <v>63</v>
      </c>
      <c r="B16" s="17" t="s">
        <v>64</v>
      </c>
      <c r="C16" s="17" t="s">
        <v>65</v>
      </c>
      <c r="D16" s="18">
        <v>1.0</v>
      </c>
      <c r="E16" s="18">
        <v>1.0</v>
      </c>
      <c r="F16" s="17">
        <v>0.0</v>
      </c>
      <c r="G16" s="17">
        <v>0.0</v>
      </c>
      <c r="H16" s="17">
        <f t="shared" ref="H16:H21" si="3">+D16+E16+F16+G16</f>
        <v>2</v>
      </c>
      <c r="I16" s="17">
        <v>3.0</v>
      </c>
      <c r="J16" s="19">
        <f t="shared" ref="J16:J21" si="4">H16/I16</f>
        <v>0.6666666667</v>
      </c>
      <c r="K16" s="17" t="s">
        <v>66</v>
      </c>
      <c r="L16" s="18" t="s">
        <v>67</v>
      </c>
      <c r="M16" s="18" t="s">
        <v>68</v>
      </c>
      <c r="N16" s="17"/>
      <c r="O16" s="17"/>
      <c r="P16" s="5"/>
      <c r="Q16" s="5"/>
      <c r="R16" s="5"/>
      <c r="S16" s="5"/>
      <c r="T16" s="5"/>
      <c r="U16" s="5"/>
      <c r="V16" s="5"/>
      <c r="W16" s="5"/>
      <c r="X16" s="5"/>
      <c r="Y16" s="5"/>
      <c r="Z16" s="5"/>
    </row>
    <row r="17" ht="64.5" customHeight="1">
      <c r="A17" s="20" t="s">
        <v>63</v>
      </c>
      <c r="B17" s="17" t="s">
        <v>69</v>
      </c>
      <c r="C17" s="17" t="s">
        <v>70</v>
      </c>
      <c r="D17" s="18">
        <v>2.0</v>
      </c>
      <c r="E17" s="18">
        <v>1.0</v>
      </c>
      <c r="F17" s="17">
        <v>0.0</v>
      </c>
      <c r="G17" s="17">
        <v>0.0</v>
      </c>
      <c r="H17" s="17">
        <f t="shared" si="3"/>
        <v>3</v>
      </c>
      <c r="I17" s="17">
        <v>3.0</v>
      </c>
      <c r="J17" s="19">
        <f t="shared" si="4"/>
        <v>1</v>
      </c>
      <c r="K17" s="17" t="s">
        <v>71</v>
      </c>
      <c r="L17" s="17"/>
      <c r="M17" s="18" t="s">
        <v>72</v>
      </c>
      <c r="N17" s="17"/>
      <c r="O17" s="17"/>
      <c r="P17" s="5"/>
      <c r="Q17" s="5"/>
      <c r="R17" s="5"/>
      <c r="S17" s="5"/>
      <c r="T17" s="5"/>
      <c r="U17" s="5"/>
      <c r="V17" s="5"/>
      <c r="W17" s="5"/>
      <c r="X17" s="5"/>
      <c r="Y17" s="5"/>
      <c r="Z17" s="5"/>
    </row>
    <row r="18" ht="64.5" customHeight="1">
      <c r="A18" s="17" t="s">
        <v>73</v>
      </c>
      <c r="B18" s="17" t="s">
        <v>74</v>
      </c>
      <c r="C18" s="18">
        <v>0.0</v>
      </c>
      <c r="D18" s="18">
        <v>0.8</v>
      </c>
      <c r="E18" s="18">
        <v>2.0</v>
      </c>
      <c r="F18" s="17">
        <v>0.0</v>
      </c>
      <c r="G18" s="17">
        <v>0.0</v>
      </c>
      <c r="H18" s="17">
        <f t="shared" si="3"/>
        <v>2.8</v>
      </c>
      <c r="I18" s="17">
        <v>4.0</v>
      </c>
      <c r="J18" s="19">
        <f t="shared" si="4"/>
        <v>0.7</v>
      </c>
      <c r="K18" s="17" t="s">
        <v>38</v>
      </c>
      <c r="L18" s="18" t="s">
        <v>39</v>
      </c>
      <c r="M18" s="18" t="s">
        <v>75</v>
      </c>
      <c r="N18" s="17"/>
      <c r="O18" s="17"/>
      <c r="P18" s="5"/>
      <c r="Q18" s="5"/>
      <c r="R18" s="5"/>
      <c r="S18" s="5"/>
      <c r="T18" s="5"/>
      <c r="U18" s="5"/>
      <c r="V18" s="5"/>
      <c r="W18" s="5"/>
      <c r="X18" s="5"/>
      <c r="Y18" s="5"/>
      <c r="Z18" s="5"/>
    </row>
    <row r="19" ht="64.5" customHeight="1">
      <c r="A19" s="17" t="s">
        <v>41</v>
      </c>
      <c r="B19" s="17" t="s">
        <v>42</v>
      </c>
      <c r="C19" s="17">
        <v>50.0</v>
      </c>
      <c r="D19" s="18">
        <v>49.0</v>
      </c>
      <c r="E19" s="18">
        <v>44.0</v>
      </c>
      <c r="F19" s="17">
        <v>0.0</v>
      </c>
      <c r="G19" s="17">
        <v>0.0</v>
      </c>
      <c r="H19" s="17">
        <f t="shared" si="3"/>
        <v>93</v>
      </c>
      <c r="I19" s="17">
        <v>150.0</v>
      </c>
      <c r="J19" s="19">
        <f t="shared" si="4"/>
        <v>0.62</v>
      </c>
      <c r="K19" s="17" t="s">
        <v>43</v>
      </c>
      <c r="L19" s="18" t="s">
        <v>44</v>
      </c>
      <c r="M19" s="18" t="s">
        <v>76</v>
      </c>
      <c r="N19" s="17"/>
      <c r="O19" s="17"/>
      <c r="P19" s="5"/>
      <c r="Q19" s="5"/>
      <c r="R19" s="5"/>
      <c r="S19" s="5"/>
      <c r="T19" s="5"/>
      <c r="U19" s="5"/>
      <c r="V19" s="5"/>
      <c r="W19" s="5"/>
      <c r="X19" s="5"/>
      <c r="Y19" s="5"/>
      <c r="Z19" s="5"/>
    </row>
    <row r="20" ht="64.5" customHeight="1">
      <c r="A20" s="17" t="s">
        <v>77</v>
      </c>
      <c r="B20" s="17" t="s">
        <v>78</v>
      </c>
      <c r="C20" s="17" t="s">
        <v>79</v>
      </c>
      <c r="D20" s="18">
        <v>0.5</v>
      </c>
      <c r="E20" s="18">
        <v>0.5</v>
      </c>
      <c r="F20" s="17">
        <v>0.0</v>
      </c>
      <c r="G20" s="17">
        <v>0.0</v>
      </c>
      <c r="H20" s="17">
        <f t="shared" si="3"/>
        <v>1</v>
      </c>
      <c r="I20" s="17">
        <v>2.0</v>
      </c>
      <c r="J20" s="19">
        <f t="shared" si="4"/>
        <v>0.5</v>
      </c>
      <c r="K20" s="17" t="s">
        <v>33</v>
      </c>
      <c r="L20" s="18" t="s">
        <v>80</v>
      </c>
      <c r="M20" s="18" t="s">
        <v>81</v>
      </c>
      <c r="N20" s="17"/>
      <c r="O20" s="17"/>
      <c r="P20" s="5"/>
      <c r="Q20" s="5"/>
      <c r="R20" s="5"/>
      <c r="S20" s="5"/>
      <c r="T20" s="5"/>
      <c r="U20" s="5"/>
      <c r="V20" s="5"/>
      <c r="W20" s="5"/>
      <c r="X20" s="5"/>
      <c r="Y20" s="5"/>
      <c r="Z20" s="5"/>
    </row>
    <row r="21" ht="64.5" customHeight="1">
      <c r="A21" s="17" t="s">
        <v>82</v>
      </c>
      <c r="B21" s="17" t="s">
        <v>83</v>
      </c>
      <c r="C21" s="17" t="s">
        <v>84</v>
      </c>
      <c r="D21" s="18">
        <v>0.3</v>
      </c>
      <c r="E21" s="18">
        <v>0.5</v>
      </c>
      <c r="F21" s="17">
        <v>0.0</v>
      </c>
      <c r="G21" s="17">
        <v>0.0</v>
      </c>
      <c r="H21" s="17">
        <f t="shared" si="3"/>
        <v>0.8</v>
      </c>
      <c r="I21" s="17">
        <v>2.0</v>
      </c>
      <c r="J21" s="19">
        <f t="shared" si="4"/>
        <v>0.4</v>
      </c>
      <c r="K21" s="17" t="s">
        <v>85</v>
      </c>
      <c r="L21" s="18" t="s">
        <v>48</v>
      </c>
      <c r="M21" s="18" t="s">
        <v>86</v>
      </c>
      <c r="N21" s="17"/>
      <c r="O21" s="17"/>
      <c r="P21" s="5"/>
      <c r="Q21" s="5"/>
      <c r="R21" s="5"/>
      <c r="S21" s="5"/>
      <c r="T21" s="5"/>
      <c r="U21" s="5"/>
      <c r="V21" s="5"/>
      <c r="W21" s="5"/>
      <c r="X21" s="5"/>
      <c r="Y21" s="5"/>
      <c r="Z21" s="5"/>
    </row>
    <row r="22" ht="14.2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4.2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4.2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K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39.63"/>
    <col customWidth="1" min="2" max="2" width="43.0"/>
    <col customWidth="1" min="3" max="3" width="36.13"/>
    <col customWidth="1" min="4" max="6" width="9.13"/>
    <col customWidth="1" min="7" max="9" width="9.88"/>
    <col customWidth="1" min="10" max="10" width="10.75"/>
    <col customWidth="1" min="11" max="11" width="31.5"/>
    <col customWidth="1" min="12" max="12" width="20.5"/>
    <col customWidth="1" min="13" max="13" width="23.5"/>
    <col customWidth="1" min="14" max="14" width="22.13"/>
    <col customWidth="1" min="15" max="15" width="21.88"/>
    <col customWidth="1" min="16" max="26" width="10.63"/>
  </cols>
  <sheetData>
    <row r="1">
      <c r="A1" s="1" t="s">
        <v>87</v>
      </c>
      <c r="B1" s="2"/>
      <c r="C1" s="2"/>
      <c r="D1" s="2"/>
      <c r="E1" s="2"/>
      <c r="F1" s="2"/>
      <c r="G1" s="2"/>
      <c r="H1" s="2"/>
      <c r="I1" s="2"/>
      <c r="J1" s="2"/>
      <c r="K1" s="2"/>
      <c r="L1" s="27"/>
      <c r="M1" s="27"/>
      <c r="N1" s="27"/>
      <c r="O1" s="28"/>
    </row>
    <row r="3">
      <c r="A3" s="29" t="s">
        <v>1</v>
      </c>
      <c r="B3" s="30"/>
      <c r="C3" s="30"/>
      <c r="D3" s="30"/>
      <c r="E3" s="30"/>
      <c r="F3" s="30"/>
      <c r="G3" s="30"/>
      <c r="H3" s="30"/>
      <c r="I3" s="30"/>
      <c r="J3" s="30"/>
      <c r="K3" s="30"/>
      <c r="L3" s="31"/>
      <c r="M3" s="31"/>
      <c r="N3" s="31"/>
      <c r="O3" s="31"/>
    </row>
    <row r="4" ht="45.0" customHeight="1">
      <c r="A4" s="11" t="s">
        <v>2</v>
      </c>
      <c r="B4" s="11" t="s">
        <v>3</v>
      </c>
      <c r="C4" s="11" t="s">
        <v>4</v>
      </c>
      <c r="D4" s="11" t="s">
        <v>88</v>
      </c>
      <c r="E4" s="11" t="s">
        <v>89</v>
      </c>
      <c r="F4" s="11" t="s">
        <v>90</v>
      </c>
      <c r="G4" s="11" t="s">
        <v>91</v>
      </c>
      <c r="H4" s="11" t="s">
        <v>9</v>
      </c>
      <c r="I4" s="11" t="s">
        <v>10</v>
      </c>
      <c r="J4" s="26" t="s">
        <v>92</v>
      </c>
      <c r="K4" s="11" t="s">
        <v>12</v>
      </c>
      <c r="L4" s="11" t="s">
        <v>93</v>
      </c>
      <c r="M4" s="11" t="s">
        <v>94</v>
      </c>
      <c r="N4" s="11" t="s">
        <v>95</v>
      </c>
      <c r="O4" s="11" t="s">
        <v>96</v>
      </c>
    </row>
    <row r="5" ht="45.0" customHeight="1">
      <c r="A5" s="32" t="s">
        <v>97</v>
      </c>
      <c r="B5" s="33" t="s">
        <v>98</v>
      </c>
      <c r="C5" s="33" t="s">
        <v>99</v>
      </c>
      <c r="D5" s="18">
        <v>2.0</v>
      </c>
      <c r="E5" s="17">
        <v>0.0</v>
      </c>
      <c r="F5" s="17">
        <v>0.0</v>
      </c>
      <c r="G5" s="17">
        <v>0.0</v>
      </c>
      <c r="H5" s="17">
        <f t="shared" ref="H5:H20" si="1">+D5+E5+F5+G5</f>
        <v>2</v>
      </c>
      <c r="I5" s="17">
        <v>3.0</v>
      </c>
      <c r="J5" s="34">
        <f t="shared" ref="J5:J20" si="2">H5/I5</f>
        <v>0.6666666667</v>
      </c>
      <c r="K5" s="17" t="s">
        <v>100</v>
      </c>
      <c r="L5" s="35" t="s">
        <v>101</v>
      </c>
      <c r="M5" s="18" t="s">
        <v>102</v>
      </c>
      <c r="N5" s="17"/>
      <c r="O5" s="17"/>
    </row>
    <row r="6" ht="45.0" customHeight="1">
      <c r="A6" s="32" t="s">
        <v>97</v>
      </c>
      <c r="B6" s="33" t="s">
        <v>98</v>
      </c>
      <c r="C6" s="33" t="s">
        <v>99</v>
      </c>
      <c r="D6" s="18">
        <v>1.0</v>
      </c>
      <c r="E6" s="18">
        <v>0.0</v>
      </c>
      <c r="F6" s="17">
        <v>0.0</v>
      </c>
      <c r="G6" s="17">
        <v>0.0</v>
      </c>
      <c r="H6" s="17">
        <f t="shared" si="1"/>
        <v>1</v>
      </c>
      <c r="I6" s="17">
        <v>1.0</v>
      </c>
      <c r="J6" s="34">
        <f t="shared" si="2"/>
        <v>1</v>
      </c>
      <c r="K6" s="18" t="s">
        <v>103</v>
      </c>
      <c r="L6" s="35" t="s">
        <v>104</v>
      </c>
      <c r="M6" s="18" t="s">
        <v>105</v>
      </c>
      <c r="N6" s="17"/>
      <c r="O6" s="17"/>
    </row>
    <row r="7" ht="45.0" customHeight="1">
      <c r="A7" s="18" t="s">
        <v>97</v>
      </c>
      <c r="B7" s="18" t="s">
        <v>106</v>
      </c>
      <c r="C7" s="18" t="s">
        <v>107</v>
      </c>
      <c r="D7" s="18">
        <v>5.0</v>
      </c>
      <c r="E7" s="18">
        <v>0.0</v>
      </c>
      <c r="F7" s="17">
        <v>0.0</v>
      </c>
      <c r="G7" s="17">
        <v>0.0</v>
      </c>
      <c r="H7" s="17">
        <f t="shared" si="1"/>
        <v>5</v>
      </c>
      <c r="I7" s="18">
        <v>5.0</v>
      </c>
      <c r="J7" s="34">
        <f t="shared" si="2"/>
        <v>1</v>
      </c>
      <c r="K7" s="36" t="s">
        <v>108</v>
      </c>
      <c r="L7" s="18"/>
      <c r="M7" s="18" t="s">
        <v>109</v>
      </c>
      <c r="N7" s="17"/>
      <c r="O7" s="17"/>
    </row>
    <row r="8" ht="45.0" customHeight="1">
      <c r="A8" s="17" t="s">
        <v>97</v>
      </c>
      <c r="B8" s="17" t="s">
        <v>110</v>
      </c>
      <c r="C8" s="17" t="s">
        <v>99</v>
      </c>
      <c r="D8" s="18">
        <v>48.0</v>
      </c>
      <c r="E8" s="18">
        <v>0.0</v>
      </c>
      <c r="F8" s="17">
        <v>0.0</v>
      </c>
      <c r="G8" s="17">
        <v>0.0</v>
      </c>
      <c r="H8" s="17">
        <f t="shared" si="1"/>
        <v>48</v>
      </c>
      <c r="I8" s="18">
        <v>20.0</v>
      </c>
      <c r="J8" s="34">
        <f t="shared" si="2"/>
        <v>2.4</v>
      </c>
      <c r="K8" s="17" t="s">
        <v>111</v>
      </c>
      <c r="L8" s="18" t="s">
        <v>112</v>
      </c>
      <c r="M8" s="18" t="s">
        <v>113</v>
      </c>
      <c r="N8" s="17"/>
      <c r="O8" s="17"/>
    </row>
    <row r="9" ht="45.0" customHeight="1">
      <c r="A9" s="17" t="s">
        <v>97</v>
      </c>
      <c r="B9" s="18" t="s">
        <v>114</v>
      </c>
      <c r="C9" s="18" t="s">
        <v>115</v>
      </c>
      <c r="D9" s="18">
        <v>55.0</v>
      </c>
      <c r="E9" s="18">
        <v>0.0</v>
      </c>
      <c r="F9" s="17">
        <v>0.0</v>
      </c>
      <c r="G9" s="17">
        <v>0.0</v>
      </c>
      <c r="H9" s="17">
        <f t="shared" si="1"/>
        <v>55</v>
      </c>
      <c r="I9" s="18">
        <v>40.0</v>
      </c>
      <c r="J9" s="34">
        <f t="shared" si="2"/>
        <v>1.375</v>
      </c>
      <c r="K9" s="36" t="s">
        <v>116</v>
      </c>
      <c r="L9" s="18" t="s">
        <v>117</v>
      </c>
      <c r="M9" s="18" t="s">
        <v>118</v>
      </c>
      <c r="N9" s="17"/>
      <c r="O9" s="17"/>
    </row>
    <row r="10" ht="45.0" customHeight="1">
      <c r="A10" s="17" t="s">
        <v>97</v>
      </c>
      <c r="B10" s="18" t="s">
        <v>119</v>
      </c>
      <c r="C10" s="17" t="s">
        <v>99</v>
      </c>
      <c r="D10" s="18">
        <v>5.0</v>
      </c>
      <c r="E10" s="17">
        <v>0.0</v>
      </c>
      <c r="F10" s="17">
        <v>0.0</v>
      </c>
      <c r="G10" s="17">
        <v>0.0</v>
      </c>
      <c r="H10" s="17">
        <f t="shared" si="1"/>
        <v>5</v>
      </c>
      <c r="I10" s="18">
        <v>6.0</v>
      </c>
      <c r="J10" s="34">
        <f t="shared" si="2"/>
        <v>0.8333333333</v>
      </c>
      <c r="K10" s="18" t="s">
        <v>120</v>
      </c>
      <c r="L10" s="37" t="s">
        <v>121</v>
      </c>
      <c r="M10" s="18" t="s">
        <v>122</v>
      </c>
      <c r="N10" s="17"/>
      <c r="O10" s="17"/>
    </row>
    <row r="11" ht="45.0" customHeight="1">
      <c r="A11" s="17" t="s">
        <v>97</v>
      </c>
      <c r="B11" s="18" t="s">
        <v>123</v>
      </c>
      <c r="C11" s="17" t="s">
        <v>99</v>
      </c>
      <c r="D11" s="18">
        <v>17.0</v>
      </c>
      <c r="E11" s="17">
        <v>0.0</v>
      </c>
      <c r="F11" s="17">
        <v>0.0</v>
      </c>
      <c r="G11" s="17">
        <v>0.0</v>
      </c>
      <c r="H11" s="17">
        <f t="shared" si="1"/>
        <v>17</v>
      </c>
      <c r="I11" s="18">
        <v>14.0</v>
      </c>
      <c r="J11" s="34">
        <f t="shared" si="2"/>
        <v>1.214285714</v>
      </c>
      <c r="K11" s="18" t="s">
        <v>124</v>
      </c>
      <c r="L11" s="37" t="s">
        <v>121</v>
      </c>
      <c r="M11" s="18" t="s">
        <v>125</v>
      </c>
      <c r="N11" s="17"/>
      <c r="O11" s="17"/>
    </row>
    <row r="12" ht="45.0" customHeight="1">
      <c r="A12" s="38" t="s">
        <v>126</v>
      </c>
      <c r="B12" s="38" t="s">
        <v>127</v>
      </c>
      <c r="C12" s="38" t="s">
        <v>128</v>
      </c>
      <c r="D12" s="18">
        <v>3.0</v>
      </c>
      <c r="E12" s="17">
        <v>0.0</v>
      </c>
      <c r="F12" s="17">
        <v>0.0</v>
      </c>
      <c r="G12" s="17">
        <v>0.0</v>
      </c>
      <c r="H12" s="17">
        <f t="shared" si="1"/>
        <v>3</v>
      </c>
      <c r="I12" s="17">
        <v>6.0</v>
      </c>
      <c r="J12" s="34">
        <f t="shared" si="2"/>
        <v>0.5</v>
      </c>
      <c r="K12" s="17" t="s">
        <v>129</v>
      </c>
      <c r="L12" s="36" t="s">
        <v>130</v>
      </c>
      <c r="M12" s="18" t="s">
        <v>131</v>
      </c>
      <c r="N12" s="17"/>
      <c r="O12" s="17"/>
    </row>
    <row r="13" ht="45.0" customHeight="1">
      <c r="A13" s="38" t="s">
        <v>126</v>
      </c>
      <c r="B13" s="38" t="s">
        <v>127</v>
      </c>
      <c r="C13" s="38" t="s">
        <v>132</v>
      </c>
      <c r="D13" s="18">
        <v>2.0</v>
      </c>
      <c r="E13" s="17">
        <v>0.0</v>
      </c>
      <c r="F13" s="17">
        <v>0.0</v>
      </c>
      <c r="G13" s="17">
        <v>0.0</v>
      </c>
      <c r="H13" s="17">
        <f t="shared" si="1"/>
        <v>2</v>
      </c>
      <c r="I13" s="18">
        <v>2.0</v>
      </c>
      <c r="J13" s="34">
        <f t="shared" si="2"/>
        <v>1</v>
      </c>
      <c r="K13" s="18" t="s">
        <v>133</v>
      </c>
      <c r="L13" s="36" t="s">
        <v>134</v>
      </c>
      <c r="M13" s="18" t="s">
        <v>125</v>
      </c>
      <c r="N13" s="17"/>
      <c r="O13" s="17"/>
    </row>
    <row r="14" ht="45.0" customHeight="1">
      <c r="A14" s="17" t="s">
        <v>126</v>
      </c>
      <c r="B14" s="17" t="s">
        <v>135</v>
      </c>
      <c r="C14" s="17" t="s">
        <v>128</v>
      </c>
      <c r="D14" s="17">
        <v>0.0</v>
      </c>
      <c r="E14" s="17">
        <v>0.0</v>
      </c>
      <c r="F14" s="17">
        <v>0.0</v>
      </c>
      <c r="G14" s="17">
        <v>0.0</v>
      </c>
      <c r="H14" s="17">
        <f t="shared" si="1"/>
        <v>0</v>
      </c>
      <c r="I14" s="18">
        <v>6.0</v>
      </c>
      <c r="J14" s="34">
        <f t="shared" si="2"/>
        <v>0</v>
      </c>
      <c r="K14" s="17" t="s">
        <v>129</v>
      </c>
      <c r="L14" s="39" t="s">
        <v>136</v>
      </c>
      <c r="M14" s="18" t="s">
        <v>137</v>
      </c>
      <c r="N14" s="17"/>
      <c r="O14" s="17"/>
    </row>
    <row r="15" ht="45.0" customHeight="1">
      <c r="A15" s="17" t="s">
        <v>126</v>
      </c>
      <c r="B15" s="17" t="s">
        <v>138</v>
      </c>
      <c r="C15" s="17" t="s">
        <v>128</v>
      </c>
      <c r="D15" s="18">
        <v>2.0</v>
      </c>
      <c r="E15" s="17">
        <v>0.0</v>
      </c>
      <c r="F15" s="17">
        <v>0.0</v>
      </c>
      <c r="G15" s="17">
        <v>0.0</v>
      </c>
      <c r="H15" s="17">
        <f t="shared" si="1"/>
        <v>2</v>
      </c>
      <c r="I15" s="18">
        <v>3.0</v>
      </c>
      <c r="J15" s="34">
        <f t="shared" si="2"/>
        <v>0.6666666667</v>
      </c>
      <c r="K15" s="17" t="s">
        <v>139</v>
      </c>
      <c r="L15" s="18" t="s">
        <v>140</v>
      </c>
      <c r="M15" s="18" t="s">
        <v>137</v>
      </c>
      <c r="N15" s="17"/>
      <c r="O15" s="17"/>
    </row>
    <row r="16" ht="45.0" customHeight="1">
      <c r="A16" s="33" t="s">
        <v>141</v>
      </c>
      <c r="B16" s="33" t="s">
        <v>142</v>
      </c>
      <c r="C16" s="33" t="s">
        <v>143</v>
      </c>
      <c r="D16" s="17">
        <v>0.0</v>
      </c>
      <c r="E16" s="17">
        <v>0.0</v>
      </c>
      <c r="F16" s="17">
        <v>0.0</v>
      </c>
      <c r="G16" s="17">
        <v>0.0</v>
      </c>
      <c r="H16" s="17">
        <f t="shared" si="1"/>
        <v>0</v>
      </c>
      <c r="I16" s="17">
        <v>1.0</v>
      </c>
      <c r="J16" s="34">
        <f t="shared" si="2"/>
        <v>0</v>
      </c>
      <c r="K16" s="17" t="s">
        <v>144</v>
      </c>
      <c r="L16" s="17"/>
      <c r="M16" s="17"/>
      <c r="N16" s="17"/>
      <c r="O16" s="17"/>
    </row>
    <row r="17" ht="45.0" customHeight="1">
      <c r="A17" s="33" t="s">
        <v>141</v>
      </c>
      <c r="B17" s="33" t="s">
        <v>142</v>
      </c>
      <c r="C17" s="33" t="s">
        <v>145</v>
      </c>
      <c r="D17" s="18">
        <v>0.0</v>
      </c>
      <c r="E17" s="17">
        <v>0.0</v>
      </c>
      <c r="F17" s="17">
        <v>0.0</v>
      </c>
      <c r="G17" s="17">
        <v>0.0</v>
      </c>
      <c r="H17" s="17">
        <f t="shared" si="1"/>
        <v>0</v>
      </c>
      <c r="I17" s="17">
        <v>3.0</v>
      </c>
      <c r="J17" s="34">
        <f t="shared" si="2"/>
        <v>0</v>
      </c>
      <c r="K17" s="17" t="s">
        <v>146</v>
      </c>
      <c r="L17" s="18" t="s">
        <v>147</v>
      </c>
      <c r="M17" s="17"/>
      <c r="N17" s="17"/>
      <c r="O17" s="18" t="s">
        <v>148</v>
      </c>
    </row>
    <row r="18" ht="45.0" customHeight="1">
      <c r="A18" s="33" t="s">
        <v>141</v>
      </c>
      <c r="B18" s="33" t="s">
        <v>142</v>
      </c>
      <c r="C18" s="33" t="s">
        <v>149</v>
      </c>
      <c r="D18" s="18">
        <v>0.0</v>
      </c>
      <c r="E18" s="17">
        <v>0.0</v>
      </c>
      <c r="F18" s="17">
        <v>0.0</v>
      </c>
      <c r="G18" s="17">
        <v>0.0</v>
      </c>
      <c r="H18" s="17">
        <f t="shared" si="1"/>
        <v>0</v>
      </c>
      <c r="I18" s="18">
        <v>50.0</v>
      </c>
      <c r="J18" s="34">
        <f t="shared" si="2"/>
        <v>0</v>
      </c>
      <c r="K18" s="18" t="s">
        <v>150</v>
      </c>
      <c r="L18" s="18"/>
      <c r="M18" s="40" t="s">
        <v>151</v>
      </c>
      <c r="N18" s="17"/>
      <c r="O18" s="17"/>
    </row>
    <row r="19" ht="45.0" customHeight="1">
      <c r="A19" s="41" t="s">
        <v>152</v>
      </c>
      <c r="B19" s="41" t="s">
        <v>153</v>
      </c>
      <c r="C19" s="41" t="s">
        <v>154</v>
      </c>
      <c r="D19" s="18">
        <v>1.0</v>
      </c>
      <c r="E19" s="17">
        <v>0.0</v>
      </c>
      <c r="F19" s="17">
        <v>0.0</v>
      </c>
      <c r="G19" s="17">
        <v>0.0</v>
      </c>
      <c r="H19" s="17">
        <f t="shared" si="1"/>
        <v>1</v>
      </c>
      <c r="I19" s="17">
        <v>1.0</v>
      </c>
      <c r="J19" s="34">
        <f t="shared" si="2"/>
        <v>1</v>
      </c>
      <c r="K19" s="17" t="s">
        <v>155</v>
      </c>
      <c r="L19" s="18" t="s">
        <v>156</v>
      </c>
      <c r="M19" s="18" t="s">
        <v>157</v>
      </c>
      <c r="N19" s="17"/>
      <c r="O19" s="17"/>
    </row>
    <row r="20" ht="45.0" customHeight="1">
      <c r="A20" s="41" t="s">
        <v>152</v>
      </c>
      <c r="B20" s="41" t="s">
        <v>153</v>
      </c>
      <c r="C20" s="41" t="s">
        <v>158</v>
      </c>
      <c r="D20" s="18">
        <v>1.0</v>
      </c>
      <c r="E20" s="17">
        <v>0.0</v>
      </c>
      <c r="F20" s="17">
        <v>0.0</v>
      </c>
      <c r="G20" s="17">
        <v>0.0</v>
      </c>
      <c r="H20" s="17">
        <f t="shared" si="1"/>
        <v>1</v>
      </c>
      <c r="I20" s="17">
        <v>1.0</v>
      </c>
      <c r="J20" s="34">
        <f t="shared" si="2"/>
        <v>1</v>
      </c>
      <c r="K20" s="17" t="s">
        <v>159</v>
      </c>
      <c r="L20" s="17"/>
      <c r="M20" s="18" t="s">
        <v>160</v>
      </c>
      <c r="N20" s="17"/>
      <c r="O20" s="17"/>
    </row>
    <row r="21" ht="45.0" customHeight="1">
      <c r="A21" s="42"/>
    </row>
    <row r="22" ht="45.0" customHeight="1"/>
    <row r="23" ht="45.0" customHeight="1">
      <c r="A23" s="29" t="s">
        <v>53</v>
      </c>
      <c r="B23" s="30"/>
      <c r="C23" s="30"/>
      <c r="D23" s="30"/>
      <c r="E23" s="30"/>
      <c r="F23" s="30"/>
      <c r="G23" s="30"/>
      <c r="H23" s="30"/>
      <c r="I23" s="30"/>
      <c r="J23" s="30"/>
      <c r="K23" s="30"/>
      <c r="L23" s="31"/>
      <c r="M23" s="31"/>
      <c r="N23" s="31"/>
      <c r="O23" s="31"/>
    </row>
    <row r="24" ht="45.0" customHeight="1">
      <c r="A24" s="11" t="s">
        <v>2</v>
      </c>
      <c r="B24" s="11" t="s">
        <v>3</v>
      </c>
      <c r="C24" s="11" t="s">
        <v>4</v>
      </c>
      <c r="D24" s="11" t="s">
        <v>161</v>
      </c>
      <c r="E24" s="11" t="s">
        <v>162</v>
      </c>
      <c r="F24" s="11" t="s">
        <v>163</v>
      </c>
      <c r="G24" s="11" t="s">
        <v>164</v>
      </c>
      <c r="H24" s="11" t="s">
        <v>9</v>
      </c>
      <c r="I24" s="11" t="s">
        <v>10</v>
      </c>
      <c r="J24" s="26" t="s">
        <v>165</v>
      </c>
      <c r="K24" s="11" t="s">
        <v>12</v>
      </c>
      <c r="L24" s="11" t="s">
        <v>166</v>
      </c>
      <c r="M24" s="11" t="s">
        <v>167</v>
      </c>
      <c r="N24" s="11" t="s">
        <v>168</v>
      </c>
      <c r="O24" s="11" t="s">
        <v>169</v>
      </c>
    </row>
    <row r="25" ht="45.0" customHeight="1">
      <c r="A25" s="17" t="s">
        <v>170</v>
      </c>
      <c r="B25" s="17" t="s">
        <v>171</v>
      </c>
      <c r="C25" s="17" t="s">
        <v>172</v>
      </c>
      <c r="D25" s="18">
        <v>3.0</v>
      </c>
      <c r="E25" s="17">
        <v>0.0</v>
      </c>
      <c r="F25" s="17">
        <v>0.0</v>
      </c>
      <c r="G25" s="17">
        <v>0.0</v>
      </c>
      <c r="H25" s="17">
        <f t="shared" ref="H25:H29" si="3">+D25+E25+F25+G25</f>
        <v>3</v>
      </c>
      <c r="I25" s="17">
        <v>2.0</v>
      </c>
      <c r="J25" s="34">
        <f t="shared" ref="J25:J29" si="4">H25/I25</f>
        <v>1.5</v>
      </c>
      <c r="K25" s="17" t="s">
        <v>173</v>
      </c>
      <c r="L25" s="18" t="s">
        <v>174</v>
      </c>
      <c r="M25" s="18" t="s">
        <v>175</v>
      </c>
      <c r="N25" s="17"/>
      <c r="O25" s="17"/>
    </row>
    <row r="26" ht="45.0" customHeight="1">
      <c r="A26" s="33" t="s">
        <v>176</v>
      </c>
      <c r="B26" s="33" t="s">
        <v>177</v>
      </c>
      <c r="C26" s="33" t="s">
        <v>178</v>
      </c>
      <c r="D26" s="18">
        <v>6.0</v>
      </c>
      <c r="E26" s="17">
        <v>0.0</v>
      </c>
      <c r="F26" s="17">
        <v>0.0</v>
      </c>
      <c r="G26" s="17">
        <v>0.0</v>
      </c>
      <c r="H26" s="17">
        <f t="shared" si="3"/>
        <v>6</v>
      </c>
      <c r="I26" s="17">
        <v>3.0</v>
      </c>
      <c r="J26" s="34">
        <f t="shared" si="4"/>
        <v>2</v>
      </c>
      <c r="K26" s="17" t="s">
        <v>179</v>
      </c>
      <c r="L26" s="18" t="s">
        <v>180</v>
      </c>
      <c r="M26" s="18" t="s">
        <v>181</v>
      </c>
      <c r="N26" s="17"/>
      <c r="O26" s="17"/>
    </row>
    <row r="27" ht="45.0" customHeight="1">
      <c r="A27" s="33" t="s">
        <v>176</v>
      </c>
      <c r="B27" s="33" t="s">
        <v>177</v>
      </c>
      <c r="C27" s="33" t="s">
        <v>178</v>
      </c>
      <c r="D27" s="17">
        <v>0.0</v>
      </c>
      <c r="E27" s="17">
        <v>0.0</v>
      </c>
      <c r="F27" s="17">
        <v>0.0</v>
      </c>
      <c r="G27" s="17">
        <v>0.0</v>
      </c>
      <c r="H27" s="17">
        <f t="shared" si="3"/>
        <v>0</v>
      </c>
      <c r="I27" s="17">
        <v>1.0</v>
      </c>
      <c r="J27" s="34">
        <f t="shared" si="4"/>
        <v>0</v>
      </c>
      <c r="K27" s="17" t="s">
        <v>182</v>
      </c>
      <c r="L27" s="17"/>
      <c r="M27" s="18" t="s">
        <v>183</v>
      </c>
      <c r="N27" s="17"/>
      <c r="O27" s="17"/>
    </row>
    <row r="28" ht="45.0" customHeight="1">
      <c r="A28" s="41" t="s">
        <v>184</v>
      </c>
      <c r="B28" s="41" t="s">
        <v>185</v>
      </c>
      <c r="C28" s="41" t="s">
        <v>186</v>
      </c>
      <c r="D28" s="17">
        <v>0.0</v>
      </c>
      <c r="E28" s="17">
        <v>0.0</v>
      </c>
      <c r="F28" s="17">
        <v>0.0</v>
      </c>
      <c r="G28" s="17">
        <v>0.0</v>
      </c>
      <c r="H28" s="17">
        <f t="shared" si="3"/>
        <v>0</v>
      </c>
      <c r="I28" s="17">
        <v>1.0</v>
      </c>
      <c r="J28" s="34">
        <f t="shared" si="4"/>
        <v>0</v>
      </c>
      <c r="K28" s="17" t="s">
        <v>187</v>
      </c>
      <c r="L28" s="18" t="s">
        <v>188</v>
      </c>
      <c r="M28" s="18" t="s">
        <v>188</v>
      </c>
      <c r="N28" s="17"/>
      <c r="O28" s="17"/>
    </row>
    <row r="29" ht="45.0" customHeight="1">
      <c r="A29" s="41" t="s">
        <v>184</v>
      </c>
      <c r="B29" s="41" t="s">
        <v>185</v>
      </c>
      <c r="C29" s="41" t="s">
        <v>186</v>
      </c>
      <c r="D29" s="18">
        <v>0.2</v>
      </c>
      <c r="E29" s="17">
        <v>0.0</v>
      </c>
      <c r="F29" s="17">
        <v>0.0</v>
      </c>
      <c r="G29" s="17">
        <v>0.0</v>
      </c>
      <c r="H29" s="17">
        <f t="shared" si="3"/>
        <v>0.2</v>
      </c>
      <c r="I29" s="17">
        <v>1.0</v>
      </c>
      <c r="J29" s="34">
        <f t="shared" si="4"/>
        <v>0.2</v>
      </c>
      <c r="K29" s="43" t="s">
        <v>189</v>
      </c>
      <c r="L29" s="18" t="s">
        <v>190</v>
      </c>
      <c r="M29" s="44" t="s">
        <v>191</v>
      </c>
      <c r="N29" s="45"/>
      <c r="O29" s="45"/>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1">
    <mergeCell ref="A1:K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63"/>
    <col customWidth="1" min="2" max="2" width="43.0"/>
    <col customWidth="1" min="3" max="3" width="9.75"/>
    <col customWidth="1" min="4" max="4" width="14.38"/>
    <col customWidth="1" min="5" max="6" width="9.13"/>
    <col customWidth="1" min="7" max="9" width="9.88"/>
    <col customWidth="1" min="10" max="10" width="11.75"/>
    <col customWidth="1" min="11" max="11" width="34.0"/>
    <col customWidth="1" min="12" max="12" width="20.5"/>
    <col customWidth="1" min="13" max="13" width="38.0"/>
    <col customWidth="1" min="14" max="14" width="22.13"/>
    <col customWidth="1" min="15" max="15" width="21.88"/>
    <col customWidth="1" min="16" max="26" width="10.63"/>
  </cols>
  <sheetData>
    <row r="1" ht="32.25" customHeight="1">
      <c r="A1" s="1" t="s">
        <v>192</v>
      </c>
      <c r="B1" s="2"/>
      <c r="C1" s="2"/>
      <c r="D1" s="2"/>
      <c r="E1" s="2"/>
      <c r="F1" s="2"/>
      <c r="G1" s="2"/>
      <c r="H1" s="2"/>
      <c r="I1" s="2"/>
      <c r="J1" s="2"/>
      <c r="K1" s="2"/>
      <c r="L1" s="27"/>
      <c r="M1" s="27"/>
      <c r="N1" s="27"/>
      <c r="O1" s="28"/>
    </row>
    <row r="2" ht="14.25" customHeight="1"/>
    <row r="3" ht="14.25" customHeight="1">
      <c r="A3" s="46" t="s">
        <v>1</v>
      </c>
      <c r="B3" s="47"/>
      <c r="C3" s="47"/>
      <c r="D3" s="47"/>
      <c r="E3" s="47"/>
      <c r="F3" s="47"/>
      <c r="G3" s="47"/>
      <c r="H3" s="47"/>
      <c r="I3" s="47"/>
      <c r="J3" s="47"/>
      <c r="K3" s="47"/>
      <c r="L3" s="48"/>
      <c r="M3" s="48"/>
      <c r="N3" s="48"/>
      <c r="O3" s="48"/>
    </row>
    <row r="4" ht="37.5" customHeight="1">
      <c r="A4" s="11" t="s">
        <v>2</v>
      </c>
      <c r="B4" s="11" t="s">
        <v>3</v>
      </c>
      <c r="C4" s="11" t="s">
        <v>4</v>
      </c>
      <c r="D4" s="11" t="s">
        <v>193</v>
      </c>
      <c r="E4" s="11" t="s">
        <v>194</v>
      </c>
      <c r="F4" s="11" t="s">
        <v>195</v>
      </c>
      <c r="G4" s="11" t="s">
        <v>196</v>
      </c>
      <c r="H4" s="11" t="s">
        <v>9</v>
      </c>
      <c r="I4" s="11" t="s">
        <v>10</v>
      </c>
      <c r="J4" s="49" t="s">
        <v>197</v>
      </c>
      <c r="K4" s="11" t="s">
        <v>12</v>
      </c>
      <c r="L4" s="11" t="s">
        <v>198</v>
      </c>
      <c r="M4" s="11" t="s">
        <v>199</v>
      </c>
      <c r="N4" s="11" t="s">
        <v>200</v>
      </c>
      <c r="O4" s="11" t="s">
        <v>201</v>
      </c>
    </row>
    <row r="5" ht="37.5" customHeight="1">
      <c r="A5" s="20" t="s">
        <v>202</v>
      </c>
      <c r="B5" s="17" t="s">
        <v>203</v>
      </c>
      <c r="C5" s="17">
        <v>0.0</v>
      </c>
      <c r="D5" s="18">
        <v>2.0</v>
      </c>
      <c r="E5" s="18">
        <v>35.83</v>
      </c>
      <c r="F5" s="17">
        <v>0.0</v>
      </c>
      <c r="G5" s="17">
        <v>0.0</v>
      </c>
      <c r="H5" s="17">
        <f t="shared" ref="H5:H13" si="1">+D5+E5+F5+G5</f>
        <v>37.83</v>
      </c>
      <c r="I5" s="17">
        <v>30.0</v>
      </c>
      <c r="J5" s="34">
        <f t="shared" ref="J5:J13" si="2">H5/I5</f>
        <v>1.261</v>
      </c>
      <c r="K5" s="18" t="s">
        <v>204</v>
      </c>
      <c r="L5" s="50"/>
      <c r="M5" s="51" t="s">
        <v>205</v>
      </c>
      <c r="N5" s="50"/>
      <c r="O5" s="45"/>
    </row>
    <row r="6" ht="37.5" customHeight="1">
      <c r="A6" s="20" t="s">
        <v>202</v>
      </c>
      <c r="B6" s="17" t="s">
        <v>206</v>
      </c>
      <c r="C6" s="17">
        <v>0.0</v>
      </c>
      <c r="D6" s="18">
        <v>3.0</v>
      </c>
      <c r="E6" s="18">
        <v>2.0</v>
      </c>
      <c r="F6" s="17">
        <v>0.0</v>
      </c>
      <c r="G6" s="17">
        <v>0.0</v>
      </c>
      <c r="H6" s="17">
        <f t="shared" si="1"/>
        <v>5</v>
      </c>
      <c r="I6" s="17">
        <v>5.0</v>
      </c>
      <c r="J6" s="34">
        <f t="shared" si="2"/>
        <v>1</v>
      </c>
      <c r="K6" s="17" t="s">
        <v>207</v>
      </c>
      <c r="L6" s="50"/>
      <c r="M6" s="51" t="s">
        <v>208</v>
      </c>
      <c r="N6" s="50"/>
      <c r="O6" s="45"/>
    </row>
    <row r="7" ht="37.5" customHeight="1">
      <c r="A7" s="20" t="s">
        <v>202</v>
      </c>
      <c r="B7" s="17" t="s">
        <v>209</v>
      </c>
      <c r="C7" s="17">
        <v>0.0</v>
      </c>
      <c r="D7" s="18">
        <v>6.0</v>
      </c>
      <c r="E7" s="18">
        <v>5.0</v>
      </c>
      <c r="F7" s="17">
        <v>0.0</v>
      </c>
      <c r="G7" s="17">
        <v>0.0</v>
      </c>
      <c r="H7" s="17">
        <f t="shared" si="1"/>
        <v>11</v>
      </c>
      <c r="I7" s="17">
        <v>150.0</v>
      </c>
      <c r="J7" s="34">
        <f t="shared" si="2"/>
        <v>0.07333333333</v>
      </c>
      <c r="K7" s="17" t="s">
        <v>210</v>
      </c>
      <c r="L7" s="45"/>
      <c r="M7" s="51" t="s">
        <v>211</v>
      </c>
      <c r="N7" s="45"/>
      <c r="O7" s="45"/>
    </row>
    <row r="8" ht="37.5" customHeight="1">
      <c r="A8" s="16" t="s">
        <v>212</v>
      </c>
      <c r="B8" s="17" t="s">
        <v>213</v>
      </c>
      <c r="C8" s="17">
        <v>0.0</v>
      </c>
      <c r="D8" s="17">
        <v>0.0</v>
      </c>
      <c r="E8" s="18">
        <v>0.0</v>
      </c>
      <c r="F8" s="17">
        <v>0.0</v>
      </c>
      <c r="G8" s="17">
        <v>0.0</v>
      </c>
      <c r="H8" s="17">
        <f t="shared" si="1"/>
        <v>0</v>
      </c>
      <c r="I8" s="17">
        <v>2.0</v>
      </c>
      <c r="J8" s="34">
        <f t="shared" si="2"/>
        <v>0</v>
      </c>
      <c r="K8" s="18" t="s">
        <v>214</v>
      </c>
      <c r="L8" s="45"/>
      <c r="M8" s="52" t="s">
        <v>215</v>
      </c>
      <c r="N8" s="45"/>
      <c r="O8" s="45"/>
    </row>
    <row r="9" ht="37.5" customHeight="1">
      <c r="A9" s="16" t="s">
        <v>212</v>
      </c>
      <c r="B9" s="17" t="s">
        <v>216</v>
      </c>
      <c r="C9" s="17">
        <v>0.0</v>
      </c>
      <c r="D9" s="18">
        <v>6.0</v>
      </c>
      <c r="E9" s="18">
        <v>5.0</v>
      </c>
      <c r="F9" s="17">
        <v>0.0</v>
      </c>
      <c r="G9" s="17">
        <v>0.0</v>
      </c>
      <c r="H9" s="17">
        <f t="shared" si="1"/>
        <v>11</v>
      </c>
      <c r="I9" s="17">
        <v>20.0</v>
      </c>
      <c r="J9" s="34">
        <f t="shared" si="2"/>
        <v>0.55</v>
      </c>
      <c r="K9" s="17" t="s">
        <v>217</v>
      </c>
      <c r="L9" s="50"/>
      <c r="M9" s="52" t="s">
        <v>218</v>
      </c>
      <c r="N9" s="50"/>
      <c r="O9" s="45"/>
    </row>
    <row r="10" ht="37.5" customHeight="1">
      <c r="A10" s="16" t="s">
        <v>212</v>
      </c>
      <c r="B10" s="17" t="s">
        <v>219</v>
      </c>
      <c r="C10" s="17">
        <v>0.0</v>
      </c>
      <c r="D10" s="17">
        <v>0.0</v>
      </c>
      <c r="E10" s="18">
        <v>2.0</v>
      </c>
      <c r="F10" s="17">
        <v>0.0</v>
      </c>
      <c r="G10" s="17">
        <v>0.0</v>
      </c>
      <c r="H10" s="17">
        <f t="shared" si="1"/>
        <v>2</v>
      </c>
      <c r="I10" s="17">
        <v>10.0</v>
      </c>
      <c r="J10" s="34">
        <f t="shared" si="2"/>
        <v>0.2</v>
      </c>
      <c r="K10" s="17" t="s">
        <v>220</v>
      </c>
      <c r="L10" s="50"/>
      <c r="M10" s="35" t="s">
        <v>221</v>
      </c>
      <c r="N10" s="50"/>
      <c r="O10" s="45"/>
    </row>
    <row r="11" ht="37.5" customHeight="1">
      <c r="A11" s="16" t="s">
        <v>212</v>
      </c>
      <c r="B11" s="17" t="s">
        <v>222</v>
      </c>
      <c r="C11" s="18">
        <v>0.0</v>
      </c>
      <c r="D11" s="18">
        <v>0.0</v>
      </c>
      <c r="E11" s="18">
        <v>96.0</v>
      </c>
      <c r="F11" s="17">
        <v>0.0</v>
      </c>
      <c r="G11" s="17">
        <v>0.0</v>
      </c>
      <c r="H11" s="17">
        <f t="shared" si="1"/>
        <v>96</v>
      </c>
      <c r="I11" s="17">
        <v>160.0</v>
      </c>
      <c r="J11" s="34">
        <f t="shared" si="2"/>
        <v>0.6</v>
      </c>
      <c r="K11" s="17" t="s">
        <v>223</v>
      </c>
      <c r="L11" s="50"/>
      <c r="M11" s="51" t="s">
        <v>224</v>
      </c>
      <c r="N11" s="50"/>
      <c r="O11" s="45"/>
    </row>
    <row r="12" ht="37.5" customHeight="1">
      <c r="A12" s="16" t="s">
        <v>212</v>
      </c>
      <c r="B12" s="17" t="s">
        <v>225</v>
      </c>
      <c r="C12" s="17">
        <v>0.0</v>
      </c>
      <c r="D12" s="18">
        <v>12.0</v>
      </c>
      <c r="E12" s="18">
        <v>12.0</v>
      </c>
      <c r="F12" s="18">
        <v>0.0</v>
      </c>
      <c r="G12" s="18">
        <v>0.0</v>
      </c>
      <c r="H12" s="17">
        <f t="shared" si="1"/>
        <v>24</v>
      </c>
      <c r="I12" s="18">
        <v>80.0</v>
      </c>
      <c r="J12" s="34">
        <f t="shared" si="2"/>
        <v>0.3</v>
      </c>
      <c r="K12" s="17" t="s">
        <v>226</v>
      </c>
      <c r="L12" s="45"/>
      <c r="M12" s="51" t="s">
        <v>227</v>
      </c>
      <c r="N12" s="45"/>
      <c r="O12" s="45"/>
    </row>
    <row r="13" ht="37.5" customHeight="1">
      <c r="A13" s="17" t="s">
        <v>228</v>
      </c>
      <c r="B13" s="17" t="s">
        <v>229</v>
      </c>
      <c r="C13" s="17">
        <v>0.0</v>
      </c>
      <c r="D13" s="18">
        <v>2.0</v>
      </c>
      <c r="E13" s="18">
        <v>6.0</v>
      </c>
      <c r="F13" s="17">
        <v>0.0</v>
      </c>
      <c r="G13" s="17">
        <v>0.0</v>
      </c>
      <c r="H13" s="17">
        <f t="shared" si="1"/>
        <v>8</v>
      </c>
      <c r="I13" s="18">
        <v>12.0</v>
      </c>
      <c r="J13" s="34">
        <f t="shared" si="2"/>
        <v>0.6666666667</v>
      </c>
      <c r="K13" s="18" t="s">
        <v>230</v>
      </c>
      <c r="L13" s="45"/>
      <c r="M13" s="52" t="s">
        <v>231</v>
      </c>
      <c r="N13" s="45"/>
      <c r="O13" s="45"/>
    </row>
    <row r="14" ht="37.5" customHeight="1">
      <c r="A14" s="50"/>
      <c r="B14" s="50"/>
      <c r="C14" s="50"/>
      <c r="D14" s="50"/>
      <c r="E14" s="50"/>
      <c r="F14" s="50"/>
      <c r="G14" s="50"/>
      <c r="H14" s="50"/>
      <c r="I14" s="50"/>
      <c r="J14" s="50"/>
      <c r="K14" s="50"/>
      <c r="L14" s="50"/>
      <c r="M14" s="50"/>
      <c r="N14" s="50"/>
      <c r="O14" s="50"/>
    </row>
    <row r="15" ht="37.5" customHeight="1">
      <c r="A15" s="29" t="s">
        <v>53</v>
      </c>
      <c r="B15" s="30"/>
      <c r="C15" s="30"/>
      <c r="D15" s="30"/>
      <c r="E15" s="30"/>
      <c r="F15" s="30"/>
      <c r="G15" s="30"/>
      <c r="H15" s="30"/>
      <c r="I15" s="30"/>
      <c r="J15" s="30"/>
      <c r="K15" s="30"/>
      <c r="L15" s="31"/>
      <c r="M15" s="31"/>
      <c r="N15" s="31"/>
      <c r="O15" s="31"/>
    </row>
    <row r="16" ht="37.5" customHeight="1">
      <c r="A16" s="11" t="s">
        <v>2</v>
      </c>
      <c r="B16" s="11" t="s">
        <v>3</v>
      </c>
      <c r="C16" s="11" t="s">
        <v>4</v>
      </c>
      <c r="D16" s="11" t="s">
        <v>232</v>
      </c>
      <c r="E16" s="11" t="s">
        <v>233</v>
      </c>
      <c r="F16" s="11" t="s">
        <v>234</v>
      </c>
      <c r="G16" s="11" t="s">
        <v>235</v>
      </c>
      <c r="H16" s="11" t="s">
        <v>9</v>
      </c>
      <c r="I16" s="11" t="s">
        <v>10</v>
      </c>
      <c r="J16" s="49" t="s">
        <v>197</v>
      </c>
      <c r="K16" s="11" t="s">
        <v>12</v>
      </c>
      <c r="L16" s="11" t="s">
        <v>236</v>
      </c>
      <c r="M16" s="11" t="s">
        <v>237</v>
      </c>
      <c r="N16" s="11" t="s">
        <v>238</v>
      </c>
      <c r="O16" s="11" t="s">
        <v>239</v>
      </c>
    </row>
    <row r="17" ht="37.5" customHeight="1">
      <c r="A17" s="17" t="s">
        <v>240</v>
      </c>
      <c r="B17" s="17" t="s">
        <v>241</v>
      </c>
      <c r="C17" s="17">
        <v>0.0</v>
      </c>
      <c r="D17" s="18">
        <v>2.0</v>
      </c>
      <c r="E17" s="17">
        <f>E5</f>
        <v>35.83</v>
      </c>
      <c r="F17" s="17">
        <v>0.0</v>
      </c>
      <c r="G17" s="17">
        <v>0.0</v>
      </c>
      <c r="H17" s="17">
        <f t="shared" ref="H17:H31" si="3">+D17+E17+F17+G17</f>
        <v>37.83</v>
      </c>
      <c r="I17" s="17">
        <v>30.0</v>
      </c>
      <c r="J17" s="34">
        <f t="shared" ref="J17:J31" si="4">H17/I17</f>
        <v>1.261</v>
      </c>
      <c r="K17" s="17" t="s">
        <v>242</v>
      </c>
      <c r="L17" s="51" t="s">
        <v>243</v>
      </c>
      <c r="M17" s="51" t="s">
        <v>244</v>
      </c>
      <c r="N17" s="45"/>
      <c r="O17" s="45"/>
    </row>
    <row r="18" ht="37.5" customHeight="1">
      <c r="A18" s="17" t="s">
        <v>245</v>
      </c>
      <c r="B18" s="17" t="s">
        <v>246</v>
      </c>
      <c r="C18" s="17">
        <v>0.0</v>
      </c>
      <c r="D18" s="17">
        <v>0.0</v>
      </c>
      <c r="E18" s="18">
        <v>0.5</v>
      </c>
      <c r="F18" s="17">
        <v>0.0</v>
      </c>
      <c r="G18" s="17">
        <v>0.0</v>
      </c>
      <c r="H18" s="17">
        <f t="shared" si="3"/>
        <v>0.5</v>
      </c>
      <c r="I18" s="17">
        <v>2.0</v>
      </c>
      <c r="J18" s="34">
        <f t="shared" si="4"/>
        <v>0.25</v>
      </c>
      <c r="K18" s="17" t="s">
        <v>247</v>
      </c>
      <c r="L18" s="35" t="s">
        <v>248</v>
      </c>
      <c r="M18" s="52" t="s">
        <v>249</v>
      </c>
      <c r="N18" s="45"/>
      <c r="O18" s="45"/>
    </row>
    <row r="19" ht="37.5" customHeight="1">
      <c r="A19" s="33" t="s">
        <v>250</v>
      </c>
      <c r="B19" s="17" t="s">
        <v>251</v>
      </c>
      <c r="C19" s="17">
        <v>0.0</v>
      </c>
      <c r="D19" s="17">
        <v>0.0</v>
      </c>
      <c r="E19" s="18">
        <v>0.1</v>
      </c>
      <c r="F19" s="17">
        <v>0.0</v>
      </c>
      <c r="G19" s="17">
        <v>0.0</v>
      </c>
      <c r="H19" s="17">
        <f t="shared" si="3"/>
        <v>0.1</v>
      </c>
      <c r="I19" s="17">
        <v>5.6</v>
      </c>
      <c r="J19" s="34">
        <f t="shared" si="4"/>
        <v>0.01785714286</v>
      </c>
      <c r="K19" s="17" t="s">
        <v>252</v>
      </c>
      <c r="L19" s="51" t="s">
        <v>253</v>
      </c>
      <c r="M19" s="51" t="s">
        <v>254</v>
      </c>
      <c r="N19" s="45"/>
      <c r="O19" s="45"/>
    </row>
    <row r="20" ht="37.5" customHeight="1">
      <c r="A20" s="33" t="s">
        <v>250</v>
      </c>
      <c r="B20" s="33" t="s">
        <v>255</v>
      </c>
      <c r="C20" s="17">
        <v>0.0</v>
      </c>
      <c r="D20" s="17">
        <v>0.0</v>
      </c>
      <c r="E20" s="17">
        <v>0.0</v>
      </c>
      <c r="F20" s="17">
        <v>0.0</v>
      </c>
      <c r="G20" s="17">
        <v>0.0</v>
      </c>
      <c r="H20" s="17">
        <f t="shared" si="3"/>
        <v>0</v>
      </c>
      <c r="I20" s="17">
        <v>2.1</v>
      </c>
      <c r="J20" s="34">
        <f t="shared" si="4"/>
        <v>0</v>
      </c>
      <c r="K20" s="17" t="s">
        <v>256</v>
      </c>
      <c r="L20" s="52" t="s">
        <v>257</v>
      </c>
      <c r="M20" s="51" t="s">
        <v>258</v>
      </c>
      <c r="N20" s="50"/>
      <c r="O20" s="45"/>
    </row>
    <row r="21" ht="37.5" customHeight="1">
      <c r="A21" s="33" t="s">
        <v>250</v>
      </c>
      <c r="B21" s="33" t="s">
        <v>255</v>
      </c>
      <c r="C21" s="17">
        <v>0.0</v>
      </c>
      <c r="D21" s="17">
        <v>0.0</v>
      </c>
      <c r="E21" s="17">
        <v>0.0</v>
      </c>
      <c r="F21" s="17">
        <v>0.0</v>
      </c>
      <c r="G21" s="17">
        <v>0.0</v>
      </c>
      <c r="H21" s="17">
        <f t="shared" si="3"/>
        <v>0</v>
      </c>
      <c r="I21" s="17">
        <v>2.0</v>
      </c>
      <c r="J21" s="34">
        <f t="shared" si="4"/>
        <v>0</v>
      </c>
      <c r="K21" s="17" t="s">
        <v>259</v>
      </c>
      <c r="L21" s="51" t="s">
        <v>260</v>
      </c>
      <c r="M21" s="52" t="s">
        <v>261</v>
      </c>
      <c r="N21" s="50"/>
      <c r="O21" s="45"/>
    </row>
    <row r="22" ht="37.5" customHeight="1">
      <c r="A22" s="33" t="s">
        <v>250</v>
      </c>
      <c r="B22" s="33" t="s">
        <v>255</v>
      </c>
      <c r="C22" s="17">
        <v>0.0</v>
      </c>
      <c r="D22" s="17">
        <v>0.0</v>
      </c>
      <c r="E22" s="18">
        <v>0.2</v>
      </c>
      <c r="F22" s="17">
        <v>0.0</v>
      </c>
      <c r="G22" s="17">
        <v>0.0</v>
      </c>
      <c r="H22" s="17">
        <f t="shared" si="3"/>
        <v>0.2</v>
      </c>
      <c r="I22" s="17">
        <v>1.4</v>
      </c>
      <c r="J22" s="34">
        <f t="shared" si="4"/>
        <v>0.1428571429</v>
      </c>
      <c r="K22" s="18" t="s">
        <v>262</v>
      </c>
      <c r="L22" s="51" t="s">
        <v>263</v>
      </c>
      <c r="M22" s="51" t="s">
        <v>264</v>
      </c>
      <c r="N22" s="50"/>
      <c r="O22" s="45"/>
    </row>
    <row r="23" ht="37.5" customHeight="1">
      <c r="A23" s="33" t="s">
        <v>250</v>
      </c>
      <c r="B23" s="17" t="s">
        <v>265</v>
      </c>
      <c r="C23" s="17">
        <v>0.0</v>
      </c>
      <c r="D23" s="17">
        <v>0.0</v>
      </c>
      <c r="E23" s="17">
        <v>0.0</v>
      </c>
      <c r="F23" s="17">
        <v>0.0</v>
      </c>
      <c r="G23" s="17">
        <v>0.0</v>
      </c>
      <c r="H23" s="17">
        <f t="shared" si="3"/>
        <v>0</v>
      </c>
      <c r="I23" s="17">
        <v>100.0</v>
      </c>
      <c r="J23" s="34">
        <f t="shared" si="4"/>
        <v>0</v>
      </c>
      <c r="K23" s="17" t="s">
        <v>266</v>
      </c>
      <c r="L23" s="45"/>
      <c r="M23" s="52" t="s">
        <v>267</v>
      </c>
      <c r="N23" s="45"/>
      <c r="O23" s="45"/>
    </row>
    <row r="24" ht="37.5" customHeight="1">
      <c r="A24" s="17" t="s">
        <v>268</v>
      </c>
      <c r="B24" s="17" t="s">
        <v>269</v>
      </c>
      <c r="C24" s="17">
        <v>0.0</v>
      </c>
      <c r="D24" s="17">
        <v>0.0</v>
      </c>
      <c r="E24" s="18">
        <v>4200.0</v>
      </c>
      <c r="F24" s="17">
        <v>0.0</v>
      </c>
      <c r="G24" s="17">
        <v>0.0</v>
      </c>
      <c r="H24" s="17">
        <f t="shared" si="3"/>
        <v>4200</v>
      </c>
      <c r="I24" s="17">
        <v>7000.0</v>
      </c>
      <c r="J24" s="34">
        <f t="shared" si="4"/>
        <v>0.6</v>
      </c>
      <c r="K24" s="17" t="s">
        <v>270</v>
      </c>
      <c r="L24" s="35" t="s">
        <v>271</v>
      </c>
      <c r="M24" s="52" t="s">
        <v>272</v>
      </c>
      <c r="N24" s="45"/>
      <c r="O24" s="45"/>
    </row>
    <row r="25" ht="37.5" customHeight="1">
      <c r="A25" s="33" t="s">
        <v>273</v>
      </c>
      <c r="B25" s="17" t="s">
        <v>274</v>
      </c>
      <c r="C25" s="17">
        <v>0.0</v>
      </c>
      <c r="D25" s="17">
        <v>0.0</v>
      </c>
      <c r="E25" s="17">
        <v>0.0</v>
      </c>
      <c r="F25" s="17">
        <v>0.0</v>
      </c>
      <c r="G25" s="17">
        <v>0.0</v>
      </c>
      <c r="H25" s="17">
        <f t="shared" si="3"/>
        <v>0</v>
      </c>
      <c r="I25" s="17">
        <v>2.0</v>
      </c>
      <c r="J25" s="34">
        <f t="shared" si="4"/>
        <v>0</v>
      </c>
      <c r="K25" s="17" t="s">
        <v>275</v>
      </c>
      <c r="L25" s="51" t="s">
        <v>276</v>
      </c>
      <c r="M25" s="52" t="s">
        <v>277</v>
      </c>
      <c r="N25" s="45"/>
      <c r="O25" s="45"/>
    </row>
    <row r="26" ht="37.5" customHeight="1">
      <c r="A26" s="33" t="s">
        <v>273</v>
      </c>
      <c r="B26" s="17" t="s">
        <v>278</v>
      </c>
      <c r="C26" s="17">
        <v>0.0</v>
      </c>
      <c r="D26" s="17">
        <v>0.0</v>
      </c>
      <c r="E26" s="17">
        <v>0.0</v>
      </c>
      <c r="F26" s="17">
        <v>0.0</v>
      </c>
      <c r="G26" s="17">
        <v>0.0</v>
      </c>
      <c r="H26" s="17">
        <f t="shared" si="3"/>
        <v>0</v>
      </c>
      <c r="I26" s="17">
        <v>10000.0</v>
      </c>
      <c r="J26" s="34">
        <f t="shared" si="4"/>
        <v>0</v>
      </c>
      <c r="K26" s="17" t="s">
        <v>279</v>
      </c>
      <c r="L26" s="53"/>
      <c r="M26" s="52" t="s">
        <v>280</v>
      </c>
      <c r="N26" s="45"/>
      <c r="O26" s="45"/>
    </row>
    <row r="27" ht="37.5" customHeight="1">
      <c r="A27" s="17" t="s">
        <v>281</v>
      </c>
      <c r="B27" s="17" t="s">
        <v>282</v>
      </c>
      <c r="C27" s="17">
        <v>0.0</v>
      </c>
      <c r="D27" s="17">
        <v>0.0</v>
      </c>
      <c r="E27" s="17">
        <v>0.0</v>
      </c>
      <c r="F27" s="17">
        <v>0.0</v>
      </c>
      <c r="G27" s="17">
        <v>0.0</v>
      </c>
      <c r="H27" s="17">
        <f t="shared" si="3"/>
        <v>0</v>
      </c>
      <c r="I27" s="17">
        <v>10.0</v>
      </c>
      <c r="J27" s="34">
        <f t="shared" si="4"/>
        <v>0</v>
      </c>
      <c r="K27" s="17" t="s">
        <v>283</v>
      </c>
      <c r="L27" s="52" t="s">
        <v>284</v>
      </c>
      <c r="M27" s="52" t="s">
        <v>284</v>
      </c>
      <c r="N27" s="45"/>
      <c r="O27" s="45"/>
    </row>
    <row r="28" ht="37.5" customHeight="1">
      <c r="A28" s="33" t="s">
        <v>285</v>
      </c>
      <c r="B28" s="17" t="s">
        <v>286</v>
      </c>
      <c r="C28" s="17">
        <v>0.0</v>
      </c>
      <c r="D28" s="17">
        <v>0.0</v>
      </c>
      <c r="E28" s="17">
        <v>0.0</v>
      </c>
      <c r="F28" s="17">
        <v>0.0</v>
      </c>
      <c r="G28" s="17">
        <v>0.0</v>
      </c>
      <c r="H28" s="17">
        <f t="shared" si="3"/>
        <v>0</v>
      </c>
      <c r="I28" s="17">
        <v>60.0</v>
      </c>
      <c r="J28" s="34">
        <f t="shared" si="4"/>
        <v>0</v>
      </c>
      <c r="K28" s="17" t="s">
        <v>287</v>
      </c>
      <c r="L28" s="54" t="s">
        <v>284</v>
      </c>
      <c r="M28" s="52" t="s">
        <v>288</v>
      </c>
      <c r="N28" s="45"/>
      <c r="O28" s="45"/>
    </row>
    <row r="29" ht="37.5" customHeight="1">
      <c r="A29" s="33" t="s">
        <v>285</v>
      </c>
      <c r="B29" s="17" t="s">
        <v>289</v>
      </c>
      <c r="C29" s="17">
        <v>0.0</v>
      </c>
      <c r="D29" s="17">
        <v>0.0</v>
      </c>
      <c r="E29" s="17">
        <v>0.0</v>
      </c>
      <c r="F29" s="17">
        <v>0.0</v>
      </c>
      <c r="G29" s="17">
        <v>0.0</v>
      </c>
      <c r="H29" s="17">
        <f t="shared" si="3"/>
        <v>0</v>
      </c>
      <c r="I29" s="17">
        <v>3.0</v>
      </c>
      <c r="J29" s="34">
        <f t="shared" si="4"/>
        <v>0</v>
      </c>
      <c r="K29" s="17" t="s">
        <v>290</v>
      </c>
      <c r="L29" s="53" t="s">
        <v>284</v>
      </c>
      <c r="M29" s="52" t="s">
        <v>288</v>
      </c>
      <c r="N29" s="50"/>
      <c r="O29" s="45"/>
    </row>
    <row r="30" ht="37.5" customHeight="1">
      <c r="A30" s="33" t="s">
        <v>285</v>
      </c>
      <c r="B30" s="17" t="s">
        <v>291</v>
      </c>
      <c r="C30" s="17">
        <v>0.0</v>
      </c>
      <c r="D30" s="17">
        <v>0.0</v>
      </c>
      <c r="E30" s="17">
        <v>0.0</v>
      </c>
      <c r="F30" s="17">
        <v>0.0</v>
      </c>
      <c r="G30" s="17">
        <v>0.0</v>
      </c>
      <c r="H30" s="17">
        <f t="shared" si="3"/>
        <v>0</v>
      </c>
      <c r="I30" s="17">
        <v>3.0</v>
      </c>
      <c r="J30" s="34">
        <f t="shared" si="4"/>
        <v>0</v>
      </c>
      <c r="K30" s="17" t="s">
        <v>292</v>
      </c>
      <c r="L30" s="53" t="s">
        <v>284</v>
      </c>
      <c r="M30" s="52" t="s">
        <v>288</v>
      </c>
      <c r="N30" s="50"/>
      <c r="O30" s="45"/>
    </row>
    <row r="31" ht="37.5" customHeight="1">
      <c r="A31" s="33" t="s">
        <v>285</v>
      </c>
      <c r="B31" s="17" t="s">
        <v>293</v>
      </c>
      <c r="C31" s="17">
        <v>0.0</v>
      </c>
      <c r="D31" s="17">
        <v>0.0</v>
      </c>
      <c r="E31" s="17">
        <v>0.0</v>
      </c>
      <c r="F31" s="17">
        <v>0.0</v>
      </c>
      <c r="G31" s="17">
        <v>0.0</v>
      </c>
      <c r="H31" s="17">
        <f t="shared" si="3"/>
        <v>0</v>
      </c>
      <c r="I31" s="17">
        <v>2.0</v>
      </c>
      <c r="J31" s="34">
        <f t="shared" si="4"/>
        <v>0</v>
      </c>
      <c r="K31" s="17" t="s">
        <v>294</v>
      </c>
      <c r="L31" s="54" t="s">
        <v>284</v>
      </c>
      <c r="M31" s="52" t="s">
        <v>295</v>
      </c>
      <c r="N31" s="45"/>
      <c r="O31" s="45"/>
    </row>
    <row r="32" ht="14.25" customHeight="1">
      <c r="M32" s="55"/>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K1"/>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39.63"/>
    <col customWidth="1" min="2" max="2" width="43.0"/>
    <col customWidth="1" min="3" max="3" width="22.25"/>
    <col customWidth="1" min="4" max="6" width="9.13"/>
    <col customWidth="1" min="7" max="9" width="9.88"/>
    <col customWidth="1" min="10" max="10" width="12.13"/>
    <col customWidth="1" min="11" max="11" width="31.5"/>
    <col customWidth="1" min="12" max="12" width="20.5"/>
    <col customWidth="1" min="13" max="13" width="23.5"/>
    <col customWidth="1" min="14" max="14" width="22.13"/>
    <col customWidth="1" min="15" max="15" width="21.88"/>
    <col customWidth="1" min="16" max="26" width="10.63"/>
  </cols>
  <sheetData>
    <row r="1" ht="32.25" customHeight="1">
      <c r="A1" s="1" t="s">
        <v>296</v>
      </c>
      <c r="B1" s="2"/>
      <c r="C1" s="2"/>
      <c r="D1" s="2"/>
      <c r="E1" s="2"/>
      <c r="F1" s="2"/>
      <c r="G1" s="2"/>
      <c r="H1" s="2"/>
      <c r="I1" s="2"/>
      <c r="J1" s="2"/>
      <c r="K1" s="2"/>
      <c r="L1" s="27"/>
      <c r="M1" s="27"/>
      <c r="N1" s="27"/>
      <c r="O1" s="28"/>
    </row>
    <row r="2" ht="14.25" customHeight="1"/>
    <row r="3" ht="54.75" customHeight="1">
      <c r="A3" s="29" t="s">
        <v>1</v>
      </c>
      <c r="B3" s="30"/>
      <c r="C3" s="30"/>
      <c r="D3" s="30"/>
      <c r="E3" s="30"/>
      <c r="F3" s="30"/>
      <c r="G3" s="30"/>
      <c r="H3" s="30"/>
      <c r="I3" s="30"/>
      <c r="J3" s="30"/>
      <c r="K3" s="30"/>
      <c r="L3" s="31"/>
      <c r="M3" s="31"/>
      <c r="N3" s="31"/>
      <c r="O3" s="31"/>
    </row>
    <row r="4" ht="54.75" customHeight="1">
      <c r="A4" s="11" t="s">
        <v>2</v>
      </c>
      <c r="B4" s="11" t="s">
        <v>3</v>
      </c>
      <c r="C4" s="11" t="s">
        <v>4</v>
      </c>
      <c r="D4" s="11" t="s">
        <v>297</v>
      </c>
      <c r="E4" s="11" t="s">
        <v>298</v>
      </c>
      <c r="F4" s="11" t="s">
        <v>299</v>
      </c>
      <c r="G4" s="11" t="s">
        <v>300</v>
      </c>
      <c r="H4" s="11" t="s">
        <v>9</v>
      </c>
      <c r="I4" s="11" t="s">
        <v>10</v>
      </c>
      <c r="J4" s="56" t="s">
        <v>301</v>
      </c>
      <c r="K4" s="56" t="s">
        <v>12</v>
      </c>
      <c r="L4" s="11" t="s">
        <v>302</v>
      </c>
      <c r="M4" s="11" t="s">
        <v>303</v>
      </c>
      <c r="N4" s="11" t="s">
        <v>304</v>
      </c>
      <c r="O4" s="11" t="s">
        <v>305</v>
      </c>
    </row>
    <row r="5" ht="54.75" customHeight="1">
      <c r="A5" s="17" t="s">
        <v>306</v>
      </c>
      <c r="B5" s="17" t="s">
        <v>307</v>
      </c>
      <c r="C5" s="17" t="s">
        <v>308</v>
      </c>
      <c r="D5" s="17">
        <v>0.0</v>
      </c>
      <c r="E5" s="18">
        <v>75.0</v>
      </c>
      <c r="F5" s="17">
        <v>0.0</v>
      </c>
      <c r="G5" s="17">
        <v>0.0</v>
      </c>
      <c r="H5" s="17">
        <f t="shared" ref="H5:H6" si="1">+D5+E5+F5+G5</f>
        <v>75</v>
      </c>
      <c r="I5" s="17">
        <v>208.0</v>
      </c>
      <c r="J5" s="34">
        <f t="shared" ref="J5:J6" si="2">H5/I5</f>
        <v>0.3605769231</v>
      </c>
      <c r="K5" s="17" t="s">
        <v>309</v>
      </c>
      <c r="L5" s="57" t="s">
        <v>310</v>
      </c>
      <c r="M5" s="40" t="s">
        <v>311</v>
      </c>
      <c r="N5" s="17"/>
      <c r="O5" s="17"/>
    </row>
    <row r="6" ht="54.75" customHeight="1">
      <c r="A6" s="17" t="s">
        <v>312</v>
      </c>
      <c r="B6" s="17" t="s">
        <v>313</v>
      </c>
      <c r="C6" s="17" t="s">
        <v>314</v>
      </c>
      <c r="D6" s="17">
        <v>0.0</v>
      </c>
      <c r="E6" s="18">
        <v>7.0</v>
      </c>
      <c r="F6" s="17">
        <v>0.0</v>
      </c>
      <c r="G6" s="17">
        <v>0.0</v>
      </c>
      <c r="H6" s="17">
        <f t="shared" si="1"/>
        <v>7</v>
      </c>
      <c r="I6" s="17">
        <v>8.0</v>
      </c>
      <c r="J6" s="34">
        <f t="shared" si="2"/>
        <v>0.875</v>
      </c>
      <c r="K6" s="17" t="s">
        <v>315</v>
      </c>
      <c r="L6" s="57" t="s">
        <v>316</v>
      </c>
      <c r="M6" s="40" t="s">
        <v>317</v>
      </c>
      <c r="N6" s="17"/>
      <c r="O6" s="17"/>
    </row>
    <row r="7" ht="54.75" customHeight="1"/>
    <row r="8" ht="54.75" customHeight="1">
      <c r="A8" s="29" t="s">
        <v>53</v>
      </c>
      <c r="B8" s="30"/>
      <c r="C8" s="30"/>
      <c r="D8" s="30"/>
      <c r="E8" s="30"/>
      <c r="F8" s="30"/>
      <c r="G8" s="30"/>
      <c r="H8" s="30"/>
      <c r="I8" s="30"/>
      <c r="J8" s="30"/>
      <c r="K8" s="30"/>
      <c r="L8" s="31"/>
      <c r="M8" s="31"/>
      <c r="N8" s="31"/>
      <c r="O8" s="31"/>
    </row>
    <row r="9" ht="54.75" customHeight="1">
      <c r="A9" s="11" t="s">
        <v>2</v>
      </c>
      <c r="B9" s="11" t="s">
        <v>3</v>
      </c>
      <c r="C9" s="11" t="s">
        <v>4</v>
      </c>
      <c r="D9" s="11" t="s">
        <v>318</v>
      </c>
      <c r="E9" s="11" t="s">
        <v>319</v>
      </c>
      <c r="F9" s="11" t="s">
        <v>320</v>
      </c>
      <c r="G9" s="11" t="s">
        <v>321</v>
      </c>
      <c r="H9" s="11" t="s">
        <v>9</v>
      </c>
      <c r="I9" s="11" t="s">
        <v>10</v>
      </c>
      <c r="J9" s="56" t="s">
        <v>301</v>
      </c>
      <c r="K9" s="56" t="s">
        <v>322</v>
      </c>
      <c r="L9" s="11" t="s">
        <v>323</v>
      </c>
      <c r="M9" s="11" t="s">
        <v>324</v>
      </c>
      <c r="N9" s="11" t="s">
        <v>325</v>
      </c>
      <c r="O9" s="11" t="s">
        <v>326</v>
      </c>
    </row>
    <row r="10" ht="54.75" customHeight="1">
      <c r="A10" s="33" t="s">
        <v>327</v>
      </c>
      <c r="B10" s="17" t="s">
        <v>328</v>
      </c>
      <c r="C10" s="17" t="s">
        <v>329</v>
      </c>
      <c r="D10" s="17">
        <v>0.0</v>
      </c>
      <c r="E10" s="18">
        <v>2.3</v>
      </c>
      <c r="F10" s="17">
        <v>0.0</v>
      </c>
      <c r="G10" s="17">
        <v>0.0</v>
      </c>
      <c r="H10" s="17">
        <f t="shared" ref="H10:H18" si="3">+D10+E10+F10+G10</f>
        <v>2.3</v>
      </c>
      <c r="I10" s="17">
        <v>3.0</v>
      </c>
      <c r="J10" s="34">
        <f t="shared" ref="J10:J18" si="4">H10/I10</f>
        <v>0.7666666667</v>
      </c>
      <c r="K10" s="17" t="s">
        <v>330</v>
      </c>
      <c r="L10" s="18" t="s">
        <v>331</v>
      </c>
      <c r="M10" s="18" t="s">
        <v>332</v>
      </c>
      <c r="N10" s="17"/>
      <c r="O10" s="17"/>
    </row>
    <row r="11" ht="54.75" customHeight="1">
      <c r="A11" s="33" t="s">
        <v>327</v>
      </c>
      <c r="B11" s="17" t="s">
        <v>333</v>
      </c>
      <c r="C11" s="17" t="s">
        <v>334</v>
      </c>
      <c r="D11" s="17">
        <v>0.0</v>
      </c>
      <c r="E11" s="18">
        <v>75.0</v>
      </c>
      <c r="F11" s="17">
        <v>0.0</v>
      </c>
      <c r="G11" s="17">
        <v>0.0</v>
      </c>
      <c r="H11" s="17">
        <f t="shared" si="3"/>
        <v>75</v>
      </c>
      <c r="I11" s="18">
        <v>200.0</v>
      </c>
      <c r="J11" s="34">
        <f t="shared" si="4"/>
        <v>0.375</v>
      </c>
      <c r="K11" s="17" t="s">
        <v>335</v>
      </c>
      <c r="L11" s="18" t="s">
        <v>336</v>
      </c>
      <c r="M11" s="18" t="s">
        <v>337</v>
      </c>
      <c r="N11" s="17"/>
      <c r="O11" s="17"/>
    </row>
    <row r="12" ht="54.75" customHeight="1">
      <c r="A12" s="33" t="s">
        <v>327</v>
      </c>
      <c r="B12" s="17" t="s">
        <v>338</v>
      </c>
      <c r="C12" s="17" t="s">
        <v>339</v>
      </c>
      <c r="D12" s="17">
        <v>0.0</v>
      </c>
      <c r="E12" s="17">
        <v>0.0</v>
      </c>
      <c r="F12" s="17">
        <v>0.0</v>
      </c>
      <c r="G12" s="17">
        <v>0.0</v>
      </c>
      <c r="H12" s="17">
        <f t="shared" si="3"/>
        <v>0</v>
      </c>
      <c r="I12" s="17">
        <v>8.0</v>
      </c>
      <c r="J12" s="34">
        <f t="shared" si="4"/>
        <v>0</v>
      </c>
      <c r="K12" s="17" t="s">
        <v>340</v>
      </c>
      <c r="L12" s="18" t="s">
        <v>341</v>
      </c>
      <c r="M12" s="18" t="s">
        <v>342</v>
      </c>
      <c r="N12" s="17"/>
      <c r="O12" s="17"/>
    </row>
    <row r="13" ht="54.75" customHeight="1">
      <c r="A13" s="33" t="s">
        <v>327</v>
      </c>
      <c r="B13" s="17" t="s">
        <v>343</v>
      </c>
      <c r="C13" s="17" t="s">
        <v>344</v>
      </c>
      <c r="D13" s="17">
        <v>0.0</v>
      </c>
      <c r="E13" s="18">
        <v>12.0</v>
      </c>
      <c r="F13" s="17">
        <v>0.0</v>
      </c>
      <c r="G13" s="17">
        <v>0.0</v>
      </c>
      <c r="H13" s="17">
        <f t="shared" si="3"/>
        <v>12</v>
      </c>
      <c r="I13" s="17">
        <v>12.0</v>
      </c>
      <c r="J13" s="34">
        <f t="shared" si="4"/>
        <v>1</v>
      </c>
      <c r="K13" s="17" t="s">
        <v>345</v>
      </c>
      <c r="L13" s="18" t="s">
        <v>346</v>
      </c>
      <c r="M13" s="18" t="s">
        <v>347</v>
      </c>
      <c r="N13" s="17"/>
      <c r="O13" s="17"/>
    </row>
    <row r="14" ht="54.75" customHeight="1">
      <c r="A14" s="33" t="s">
        <v>348</v>
      </c>
      <c r="B14" s="17" t="s">
        <v>349</v>
      </c>
      <c r="C14" s="17" t="s">
        <v>350</v>
      </c>
      <c r="D14" s="17">
        <v>0.0</v>
      </c>
      <c r="E14" s="18">
        <v>7.0</v>
      </c>
      <c r="F14" s="17">
        <v>0.0</v>
      </c>
      <c r="G14" s="17">
        <v>0.0</v>
      </c>
      <c r="H14" s="17">
        <f t="shared" si="3"/>
        <v>7</v>
      </c>
      <c r="I14" s="17">
        <v>8.0</v>
      </c>
      <c r="J14" s="34">
        <f t="shared" si="4"/>
        <v>0.875</v>
      </c>
      <c r="K14" s="17" t="s">
        <v>351</v>
      </c>
      <c r="L14" s="18" t="s">
        <v>352</v>
      </c>
      <c r="M14" s="18" t="s">
        <v>353</v>
      </c>
      <c r="N14" s="17"/>
      <c r="O14" s="17"/>
    </row>
    <row r="15" ht="54.75" customHeight="1">
      <c r="A15" s="33" t="s">
        <v>348</v>
      </c>
      <c r="B15" s="17" t="s">
        <v>354</v>
      </c>
      <c r="C15" s="17" t="s">
        <v>355</v>
      </c>
      <c r="D15" s="17">
        <v>0.0</v>
      </c>
      <c r="E15" s="18">
        <v>1.0</v>
      </c>
      <c r="F15" s="17">
        <v>0.0</v>
      </c>
      <c r="G15" s="17">
        <v>0.0</v>
      </c>
      <c r="H15" s="17">
        <f t="shared" si="3"/>
        <v>1</v>
      </c>
      <c r="I15" s="17">
        <v>2.0</v>
      </c>
      <c r="J15" s="34">
        <f t="shared" si="4"/>
        <v>0.5</v>
      </c>
      <c r="K15" s="17" t="s">
        <v>356</v>
      </c>
      <c r="L15" s="17"/>
      <c r="M15" s="18" t="s">
        <v>357</v>
      </c>
      <c r="N15" s="17"/>
      <c r="O15" s="17"/>
    </row>
    <row r="16" ht="54.75" customHeight="1">
      <c r="A16" s="33" t="s">
        <v>348</v>
      </c>
      <c r="B16" s="17" t="s">
        <v>358</v>
      </c>
      <c r="C16" s="17" t="s">
        <v>359</v>
      </c>
      <c r="D16" s="17">
        <v>0.0</v>
      </c>
      <c r="E16" s="17">
        <v>0.0</v>
      </c>
      <c r="F16" s="17">
        <v>0.0</v>
      </c>
      <c r="G16" s="17">
        <v>0.0</v>
      </c>
      <c r="H16" s="17">
        <f t="shared" si="3"/>
        <v>0</v>
      </c>
      <c r="I16" s="17">
        <v>8.0</v>
      </c>
      <c r="J16" s="34">
        <f t="shared" si="4"/>
        <v>0</v>
      </c>
      <c r="K16" s="17" t="s">
        <v>360</v>
      </c>
      <c r="L16" s="18" t="s">
        <v>361</v>
      </c>
      <c r="M16" s="18" t="s">
        <v>362</v>
      </c>
      <c r="N16" s="17"/>
      <c r="O16" s="17"/>
    </row>
    <row r="17" ht="54.75" customHeight="1">
      <c r="A17" s="17" t="s">
        <v>363</v>
      </c>
      <c r="B17" s="17" t="s">
        <v>364</v>
      </c>
      <c r="C17" s="17" t="s">
        <v>365</v>
      </c>
      <c r="D17" s="17">
        <v>0.0</v>
      </c>
      <c r="E17" s="17">
        <v>0.0</v>
      </c>
      <c r="F17" s="17">
        <v>0.0</v>
      </c>
      <c r="G17" s="17">
        <v>0.0</v>
      </c>
      <c r="H17" s="17">
        <f t="shared" si="3"/>
        <v>0</v>
      </c>
      <c r="I17" s="58">
        <v>0.8</v>
      </c>
      <c r="J17" s="34">
        <f t="shared" si="4"/>
        <v>0</v>
      </c>
      <c r="K17" s="17" t="s">
        <v>366</v>
      </c>
      <c r="L17" s="17"/>
      <c r="M17" s="18" t="s">
        <v>367</v>
      </c>
      <c r="N17" s="17"/>
      <c r="O17" s="17"/>
    </row>
    <row r="18" ht="54.75" customHeight="1">
      <c r="A18" s="17" t="s">
        <v>368</v>
      </c>
      <c r="B18" s="17" t="s">
        <v>369</v>
      </c>
      <c r="C18" s="17" t="s">
        <v>370</v>
      </c>
      <c r="D18" s="17">
        <v>0.0</v>
      </c>
      <c r="E18" s="17">
        <v>0.0</v>
      </c>
      <c r="F18" s="17">
        <v>0.0</v>
      </c>
      <c r="G18" s="17">
        <v>0.0</v>
      </c>
      <c r="H18" s="17">
        <f t="shared" si="3"/>
        <v>0</v>
      </c>
      <c r="I18" s="17">
        <v>3000000.0</v>
      </c>
      <c r="J18" s="34">
        <f t="shared" si="4"/>
        <v>0</v>
      </c>
      <c r="K18" s="17" t="s">
        <v>369</v>
      </c>
      <c r="L18" s="18" t="s">
        <v>371</v>
      </c>
      <c r="M18" s="17"/>
      <c r="N18" s="17"/>
      <c r="O18" s="17"/>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K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63"/>
    <col customWidth="1" min="2" max="2" width="43.0"/>
    <col customWidth="1" min="3" max="3" width="18.25"/>
    <col customWidth="1" min="4" max="6" width="9.13"/>
    <col customWidth="1" min="7" max="9" width="9.88"/>
    <col customWidth="1" min="10" max="10" width="14.75"/>
    <col customWidth="1" min="11" max="11" width="31.5"/>
    <col customWidth="1" min="12" max="12" width="30.38"/>
    <col customWidth="1" min="13" max="13" width="23.5"/>
    <col customWidth="1" min="14" max="14" width="22.13"/>
    <col customWidth="1" min="15" max="15" width="21.88"/>
    <col customWidth="1" min="16" max="26" width="10.63"/>
  </cols>
  <sheetData>
    <row r="1" ht="32.25" customHeight="1">
      <c r="A1" s="59" t="s">
        <v>372</v>
      </c>
      <c r="B1" s="2"/>
      <c r="C1" s="2"/>
      <c r="D1" s="2"/>
      <c r="E1" s="2"/>
      <c r="F1" s="2"/>
      <c r="G1" s="2"/>
      <c r="H1" s="2"/>
      <c r="I1" s="2"/>
      <c r="J1" s="2"/>
      <c r="K1" s="2"/>
      <c r="L1" s="27"/>
      <c r="M1" s="27"/>
      <c r="N1" s="27"/>
      <c r="O1" s="28"/>
    </row>
    <row r="2" ht="14.25" customHeight="1"/>
    <row r="3" ht="14.25" customHeight="1">
      <c r="A3" s="46" t="s">
        <v>1</v>
      </c>
      <c r="B3" s="47"/>
      <c r="C3" s="47"/>
      <c r="D3" s="47"/>
      <c r="E3" s="47"/>
      <c r="F3" s="47"/>
      <c r="G3" s="47"/>
      <c r="H3" s="47"/>
      <c r="I3" s="47"/>
      <c r="J3" s="47"/>
      <c r="K3" s="47"/>
      <c r="L3" s="48"/>
      <c r="M3" s="48"/>
      <c r="N3" s="48"/>
      <c r="O3" s="48"/>
    </row>
    <row r="4" ht="43.5" customHeight="1">
      <c r="A4" s="11" t="s">
        <v>2</v>
      </c>
      <c r="B4" s="11" t="s">
        <v>3</v>
      </c>
      <c r="C4" s="11" t="s">
        <v>4</v>
      </c>
      <c r="D4" s="60" t="s">
        <v>373</v>
      </c>
      <c r="E4" s="11" t="s">
        <v>374</v>
      </c>
      <c r="F4" s="11" t="s">
        <v>375</v>
      </c>
      <c r="G4" s="11" t="s">
        <v>376</v>
      </c>
      <c r="H4" s="11" t="s">
        <v>9</v>
      </c>
      <c r="I4" s="11" t="s">
        <v>10</v>
      </c>
      <c r="J4" s="61" t="s">
        <v>197</v>
      </c>
      <c r="K4" s="11" t="s">
        <v>12</v>
      </c>
      <c r="L4" s="11" t="s">
        <v>377</v>
      </c>
      <c r="M4" s="11" t="s">
        <v>378</v>
      </c>
      <c r="N4" s="11" t="s">
        <v>379</v>
      </c>
      <c r="O4" s="11" t="s">
        <v>380</v>
      </c>
    </row>
    <row r="5" ht="43.5" customHeight="1">
      <c r="A5" s="17" t="s">
        <v>381</v>
      </c>
      <c r="B5" s="17" t="s">
        <v>382</v>
      </c>
      <c r="C5" s="17" t="s">
        <v>383</v>
      </c>
      <c r="D5" s="18">
        <v>225.0</v>
      </c>
      <c r="E5" s="17">
        <v>0.0</v>
      </c>
      <c r="F5" s="17">
        <v>0.0</v>
      </c>
      <c r="G5" s="17">
        <v>0.0</v>
      </c>
      <c r="H5" s="17">
        <f t="shared" ref="H5:H13" si="1">+D5+E5+F5+G5</f>
        <v>225</v>
      </c>
      <c r="I5" s="17">
        <v>160.0</v>
      </c>
      <c r="J5" s="34">
        <f t="shared" ref="J5:J13" si="2">H5/I5</f>
        <v>1.40625</v>
      </c>
      <c r="K5" s="17" t="s">
        <v>384</v>
      </c>
      <c r="L5" s="62" t="s">
        <v>385</v>
      </c>
      <c r="M5" s="18" t="s">
        <v>386</v>
      </c>
      <c r="N5" s="17"/>
      <c r="O5" s="17"/>
    </row>
    <row r="6" ht="43.5" customHeight="1">
      <c r="A6" s="63" t="s">
        <v>387</v>
      </c>
      <c r="B6" s="17" t="s">
        <v>388</v>
      </c>
      <c r="C6" s="17" t="s">
        <v>389</v>
      </c>
      <c r="D6" s="18">
        <v>24.0</v>
      </c>
      <c r="E6" s="17">
        <v>0.0</v>
      </c>
      <c r="F6" s="17">
        <v>0.0</v>
      </c>
      <c r="G6" s="17">
        <v>0.0</v>
      </c>
      <c r="H6" s="17">
        <f t="shared" si="1"/>
        <v>24</v>
      </c>
      <c r="I6" s="17">
        <v>12.0</v>
      </c>
      <c r="J6" s="34">
        <f t="shared" si="2"/>
        <v>2</v>
      </c>
      <c r="K6" s="17" t="s">
        <v>390</v>
      </c>
      <c r="L6" s="62" t="s">
        <v>391</v>
      </c>
      <c r="M6" s="18" t="s">
        <v>392</v>
      </c>
      <c r="N6" s="17"/>
      <c r="O6" s="17"/>
    </row>
    <row r="7" ht="43.5" customHeight="1">
      <c r="A7" s="63" t="s">
        <v>387</v>
      </c>
      <c r="B7" s="17" t="s">
        <v>393</v>
      </c>
      <c r="C7" s="17">
        <v>0.0</v>
      </c>
      <c r="D7" s="18">
        <v>0.25</v>
      </c>
      <c r="E7" s="18">
        <v>0.25</v>
      </c>
      <c r="F7" s="17">
        <v>0.0</v>
      </c>
      <c r="G7" s="17">
        <v>0.0</v>
      </c>
      <c r="H7" s="17">
        <f t="shared" si="1"/>
        <v>0.5</v>
      </c>
      <c r="I7" s="17">
        <v>1.0</v>
      </c>
      <c r="J7" s="34">
        <f t="shared" si="2"/>
        <v>0.5</v>
      </c>
      <c r="K7" s="17" t="s">
        <v>394</v>
      </c>
      <c r="L7" s="62" t="s">
        <v>395</v>
      </c>
      <c r="M7" s="18" t="s">
        <v>396</v>
      </c>
      <c r="N7" s="17"/>
      <c r="O7" s="17"/>
    </row>
    <row r="8" ht="43.5" customHeight="1">
      <c r="A8" s="63" t="s">
        <v>397</v>
      </c>
      <c r="B8" s="63" t="s">
        <v>398</v>
      </c>
      <c r="C8" s="63" t="s">
        <v>399</v>
      </c>
      <c r="D8" s="18">
        <v>0.25</v>
      </c>
      <c r="E8" s="18">
        <v>25.0</v>
      </c>
      <c r="F8" s="17">
        <v>0.0</v>
      </c>
      <c r="G8" s="17">
        <v>0.0</v>
      </c>
      <c r="H8" s="17">
        <f t="shared" si="1"/>
        <v>25.25</v>
      </c>
      <c r="I8" s="17">
        <v>60.0</v>
      </c>
      <c r="J8" s="34">
        <f t="shared" si="2"/>
        <v>0.4208333333</v>
      </c>
      <c r="K8" s="18" t="s">
        <v>400</v>
      </c>
      <c r="L8" s="62" t="s">
        <v>401</v>
      </c>
      <c r="M8" s="18" t="s">
        <v>402</v>
      </c>
      <c r="N8" s="17"/>
      <c r="O8" s="17"/>
    </row>
    <row r="9" ht="43.5" customHeight="1">
      <c r="A9" s="17" t="s">
        <v>403</v>
      </c>
      <c r="B9" s="17" t="s">
        <v>404</v>
      </c>
      <c r="C9" s="17" t="s">
        <v>405</v>
      </c>
      <c r="D9" s="18">
        <v>0.3</v>
      </c>
      <c r="E9" s="18">
        <v>167.0</v>
      </c>
      <c r="F9" s="17">
        <v>0.0</v>
      </c>
      <c r="G9" s="17">
        <v>0.0</v>
      </c>
      <c r="H9" s="17">
        <f t="shared" si="1"/>
        <v>167.3</v>
      </c>
      <c r="I9" s="17">
        <v>160.0</v>
      </c>
      <c r="J9" s="34">
        <f t="shared" si="2"/>
        <v>1.045625</v>
      </c>
      <c r="K9" s="17" t="s">
        <v>406</v>
      </c>
      <c r="L9" s="62" t="s">
        <v>407</v>
      </c>
      <c r="M9" s="18" t="s">
        <v>408</v>
      </c>
      <c r="N9" s="17"/>
      <c r="O9" s="17"/>
    </row>
    <row r="10" ht="43.5" customHeight="1">
      <c r="A10" s="17" t="s">
        <v>409</v>
      </c>
      <c r="B10" s="17" t="s">
        <v>410</v>
      </c>
      <c r="C10" s="17" t="s">
        <v>411</v>
      </c>
      <c r="D10" s="17">
        <v>0.0</v>
      </c>
      <c r="E10" s="18">
        <v>45.0</v>
      </c>
      <c r="F10" s="17">
        <v>0.0</v>
      </c>
      <c r="G10" s="17">
        <v>0.0</v>
      </c>
      <c r="H10" s="17">
        <f t="shared" si="1"/>
        <v>45</v>
      </c>
      <c r="I10" s="64">
        <v>165.0</v>
      </c>
      <c r="J10" s="34">
        <f t="shared" si="2"/>
        <v>0.2727272727</v>
      </c>
      <c r="K10" s="17" t="s">
        <v>412</v>
      </c>
      <c r="L10" s="62" t="s">
        <v>413</v>
      </c>
      <c r="M10" s="17"/>
      <c r="N10" s="17"/>
      <c r="O10" s="17"/>
    </row>
    <row r="11" ht="43.5" customHeight="1">
      <c r="A11" s="17" t="s">
        <v>414</v>
      </c>
      <c r="B11" s="17" t="s">
        <v>415</v>
      </c>
      <c r="C11" s="17" t="s">
        <v>416</v>
      </c>
      <c r="D11" s="18">
        <v>0.0</v>
      </c>
      <c r="E11" s="18">
        <v>0.0</v>
      </c>
      <c r="F11" s="17">
        <v>0.0</v>
      </c>
      <c r="G11" s="17">
        <v>0.0</v>
      </c>
      <c r="H11" s="17">
        <f t="shared" si="1"/>
        <v>0</v>
      </c>
      <c r="I11" s="17">
        <v>60.0</v>
      </c>
      <c r="J11" s="34">
        <f t="shared" si="2"/>
        <v>0</v>
      </c>
      <c r="K11" s="18" t="s">
        <v>417</v>
      </c>
      <c r="L11" s="65" t="s">
        <v>418</v>
      </c>
      <c r="M11" s="18" t="s">
        <v>419</v>
      </c>
      <c r="N11" s="17"/>
      <c r="O11" s="17"/>
    </row>
    <row r="12" ht="43.5" customHeight="1">
      <c r="A12" s="18" t="s">
        <v>420</v>
      </c>
      <c r="B12" s="17" t="s">
        <v>421</v>
      </c>
      <c r="C12" s="17">
        <v>0.0</v>
      </c>
      <c r="D12" s="18">
        <v>0.25</v>
      </c>
      <c r="E12" s="18">
        <v>0.1</v>
      </c>
      <c r="F12" s="17">
        <v>0.0</v>
      </c>
      <c r="G12" s="17">
        <v>0.0</v>
      </c>
      <c r="H12" s="17">
        <f t="shared" si="1"/>
        <v>0.35</v>
      </c>
      <c r="I12" s="17">
        <v>1.0</v>
      </c>
      <c r="J12" s="34">
        <f t="shared" si="2"/>
        <v>0.35</v>
      </c>
      <c r="K12" s="18" t="s">
        <v>422</v>
      </c>
      <c r="L12" s="65" t="s">
        <v>423</v>
      </c>
      <c r="M12" s="18" t="s">
        <v>424</v>
      </c>
      <c r="N12" s="17"/>
      <c r="O12" s="17"/>
    </row>
    <row r="13" ht="43.5" customHeight="1">
      <c r="A13" s="17" t="s">
        <v>425</v>
      </c>
      <c r="B13" s="17" t="s">
        <v>426</v>
      </c>
      <c r="C13" s="17" t="s">
        <v>427</v>
      </c>
      <c r="D13" s="18">
        <v>0.4</v>
      </c>
      <c r="E13" s="18">
        <v>2.0</v>
      </c>
      <c r="F13" s="17">
        <v>0.0</v>
      </c>
      <c r="G13" s="17">
        <v>0.0</v>
      </c>
      <c r="H13" s="17">
        <f t="shared" si="1"/>
        <v>2.4</v>
      </c>
      <c r="I13" s="17">
        <v>6.0</v>
      </c>
      <c r="J13" s="34">
        <f t="shared" si="2"/>
        <v>0.4</v>
      </c>
      <c r="K13" s="18" t="s">
        <v>428</v>
      </c>
      <c r="L13" s="65" t="s">
        <v>429</v>
      </c>
      <c r="M13" s="18" t="s">
        <v>430</v>
      </c>
      <c r="N13" s="17"/>
      <c r="O13" s="17"/>
    </row>
    <row r="14" ht="43.5" customHeight="1">
      <c r="A14" s="50"/>
      <c r="B14" s="50"/>
      <c r="C14" s="50"/>
      <c r="D14" s="50"/>
      <c r="E14" s="50"/>
      <c r="F14" s="50"/>
      <c r="G14" s="50"/>
      <c r="H14" s="50"/>
      <c r="I14" s="50"/>
      <c r="J14" s="50"/>
      <c r="K14" s="50"/>
      <c r="L14" s="50"/>
      <c r="M14" s="50"/>
      <c r="N14" s="50"/>
      <c r="O14" s="50"/>
    </row>
    <row r="15" ht="43.5" customHeight="1">
      <c r="A15" s="29" t="s">
        <v>53</v>
      </c>
      <c r="B15" s="30"/>
      <c r="C15" s="30"/>
      <c r="D15" s="30"/>
      <c r="E15" s="30"/>
      <c r="F15" s="30"/>
      <c r="G15" s="30"/>
      <c r="H15" s="30"/>
      <c r="I15" s="30"/>
      <c r="J15" s="30"/>
      <c r="K15" s="30"/>
      <c r="L15" s="31"/>
      <c r="M15" s="31"/>
      <c r="N15" s="31"/>
      <c r="O15" s="31"/>
    </row>
    <row r="16" ht="43.5" customHeight="1">
      <c r="A16" s="11" t="s">
        <v>2</v>
      </c>
      <c r="B16" s="11" t="s">
        <v>3</v>
      </c>
      <c r="C16" s="11" t="s">
        <v>4</v>
      </c>
      <c r="D16" s="60" t="s">
        <v>431</v>
      </c>
      <c r="E16" s="11" t="s">
        <v>432</v>
      </c>
      <c r="F16" s="11" t="s">
        <v>433</v>
      </c>
      <c r="G16" s="11" t="s">
        <v>434</v>
      </c>
      <c r="H16" s="11" t="s">
        <v>9</v>
      </c>
      <c r="I16" s="11" t="s">
        <v>10</v>
      </c>
      <c r="J16" s="61" t="s">
        <v>197</v>
      </c>
      <c r="K16" s="11" t="s">
        <v>12</v>
      </c>
      <c r="L16" s="11" t="s">
        <v>435</v>
      </c>
      <c r="M16" s="11" t="s">
        <v>436</v>
      </c>
      <c r="N16" s="11" t="s">
        <v>437</v>
      </c>
      <c r="O16" s="11" t="s">
        <v>438</v>
      </c>
    </row>
    <row r="17" ht="43.5" customHeight="1">
      <c r="A17" s="17" t="s">
        <v>439</v>
      </c>
      <c r="B17" s="17" t="s">
        <v>440</v>
      </c>
      <c r="C17" s="17">
        <v>0.0</v>
      </c>
      <c r="D17" s="18">
        <v>12.0</v>
      </c>
      <c r="E17" s="17">
        <v>0.0</v>
      </c>
      <c r="F17" s="17">
        <v>0.0</v>
      </c>
      <c r="G17" s="17">
        <v>0.0</v>
      </c>
      <c r="H17" s="17">
        <f t="shared" ref="H17:H27" si="3">+D17+E17+F17+G17</f>
        <v>12</v>
      </c>
      <c r="I17" s="17">
        <v>12.0</v>
      </c>
      <c r="J17" s="34">
        <f t="shared" ref="J17:J27" si="4">H17/I17</f>
        <v>1</v>
      </c>
      <c r="K17" s="17" t="s">
        <v>441</v>
      </c>
      <c r="L17" s="17"/>
      <c r="M17" s="18" t="s">
        <v>442</v>
      </c>
      <c r="N17" s="17"/>
      <c r="O17" s="17"/>
    </row>
    <row r="18" ht="43.5" customHeight="1">
      <c r="A18" s="20" t="s">
        <v>443</v>
      </c>
      <c r="B18" s="17" t="s">
        <v>444</v>
      </c>
      <c r="C18" s="17">
        <v>0.0</v>
      </c>
      <c r="D18" s="18">
        <v>24.0</v>
      </c>
      <c r="E18" s="17">
        <v>0.0</v>
      </c>
      <c r="F18" s="17">
        <v>0.0</v>
      </c>
      <c r="G18" s="17">
        <v>0.0</v>
      </c>
      <c r="H18" s="17">
        <f t="shared" si="3"/>
        <v>24</v>
      </c>
      <c r="I18" s="17">
        <v>12.0</v>
      </c>
      <c r="J18" s="34">
        <f t="shared" si="4"/>
        <v>2</v>
      </c>
      <c r="K18" s="17" t="s">
        <v>445</v>
      </c>
      <c r="L18" s="17"/>
      <c r="M18" s="18" t="s">
        <v>446</v>
      </c>
      <c r="N18" s="17"/>
      <c r="O18" s="17"/>
    </row>
    <row r="19" ht="43.5" customHeight="1">
      <c r="A19" s="20" t="s">
        <v>443</v>
      </c>
      <c r="B19" s="17" t="s">
        <v>447</v>
      </c>
      <c r="C19" s="17">
        <v>0.0</v>
      </c>
      <c r="D19" s="18">
        <v>0.25</v>
      </c>
      <c r="E19" s="18">
        <v>0.2</v>
      </c>
      <c r="F19" s="17">
        <v>0.0</v>
      </c>
      <c r="G19" s="17">
        <v>0.0</v>
      </c>
      <c r="H19" s="17">
        <f t="shared" si="3"/>
        <v>0.45</v>
      </c>
      <c r="I19" s="17">
        <v>1.0</v>
      </c>
      <c r="J19" s="34">
        <f t="shared" si="4"/>
        <v>0.45</v>
      </c>
      <c r="K19" s="17" t="s">
        <v>448</v>
      </c>
      <c r="L19" s="35" t="s">
        <v>449</v>
      </c>
      <c r="M19" s="18" t="s">
        <v>450</v>
      </c>
      <c r="N19" s="17"/>
      <c r="O19" s="17"/>
    </row>
    <row r="20" ht="43.5" customHeight="1">
      <c r="A20" s="20" t="s">
        <v>443</v>
      </c>
      <c r="B20" s="17" t="s">
        <v>451</v>
      </c>
      <c r="C20" s="17">
        <v>0.0</v>
      </c>
      <c r="D20" s="18">
        <v>0.3</v>
      </c>
      <c r="E20" s="18">
        <v>0.2</v>
      </c>
      <c r="F20" s="17">
        <v>0.0</v>
      </c>
      <c r="G20" s="17">
        <v>0.0</v>
      </c>
      <c r="H20" s="17">
        <f t="shared" si="3"/>
        <v>0.5</v>
      </c>
      <c r="I20" s="17">
        <v>1.0</v>
      </c>
      <c r="J20" s="34">
        <f t="shared" si="4"/>
        <v>0.5</v>
      </c>
      <c r="K20" s="17" t="s">
        <v>394</v>
      </c>
      <c r="L20" s="17"/>
      <c r="M20" s="17"/>
      <c r="N20" s="17"/>
      <c r="O20" s="17"/>
    </row>
    <row r="21" ht="43.5" customHeight="1">
      <c r="A21" s="17" t="s">
        <v>452</v>
      </c>
      <c r="B21" s="17" t="s">
        <v>453</v>
      </c>
      <c r="C21" s="17">
        <v>0.0</v>
      </c>
      <c r="D21" s="17">
        <v>0.0</v>
      </c>
      <c r="E21" s="17">
        <f>45+22</f>
        <v>67</v>
      </c>
      <c r="F21" s="17">
        <v>0.0</v>
      </c>
      <c r="G21" s="17">
        <v>0.0</v>
      </c>
      <c r="H21" s="17">
        <f t="shared" si="3"/>
        <v>67</v>
      </c>
      <c r="I21" s="17">
        <v>160.0</v>
      </c>
      <c r="J21" s="34">
        <f t="shared" si="4"/>
        <v>0.41875</v>
      </c>
      <c r="K21" s="17" t="s">
        <v>454</v>
      </c>
      <c r="L21" s="17"/>
      <c r="M21" s="18" t="s">
        <v>455</v>
      </c>
      <c r="N21" s="17"/>
      <c r="O21" s="17"/>
    </row>
    <row r="22" ht="43.5" customHeight="1">
      <c r="A22" s="17" t="s">
        <v>456</v>
      </c>
      <c r="B22" s="18" t="s">
        <v>457</v>
      </c>
      <c r="C22" s="17">
        <v>0.0</v>
      </c>
      <c r="D22" s="18">
        <v>0.4</v>
      </c>
      <c r="E22" s="18">
        <v>1073.0</v>
      </c>
      <c r="F22" s="17">
        <v>0.0</v>
      </c>
      <c r="G22" s="17">
        <v>0.0</v>
      </c>
      <c r="H22" s="17">
        <f t="shared" si="3"/>
        <v>1073.4</v>
      </c>
      <c r="I22" s="18">
        <v>900.0</v>
      </c>
      <c r="J22" s="34">
        <f t="shared" si="4"/>
        <v>1.192666667</v>
      </c>
      <c r="K22" s="18" t="s">
        <v>458</v>
      </c>
      <c r="L22" s="35" t="s">
        <v>459</v>
      </c>
      <c r="M22" s="18" t="s">
        <v>460</v>
      </c>
      <c r="N22" s="17"/>
      <c r="O22" s="17"/>
    </row>
    <row r="23" ht="43.5" customHeight="1">
      <c r="A23" s="17" t="s">
        <v>461</v>
      </c>
      <c r="B23" s="17" t="s">
        <v>462</v>
      </c>
      <c r="C23" s="17">
        <v>0.0</v>
      </c>
      <c r="D23" s="17">
        <v>0.0</v>
      </c>
      <c r="E23" s="18">
        <v>45.0</v>
      </c>
      <c r="F23" s="17">
        <v>0.0</v>
      </c>
      <c r="G23" s="17">
        <v>0.0</v>
      </c>
      <c r="H23" s="17">
        <f t="shared" si="3"/>
        <v>45</v>
      </c>
      <c r="I23" s="17">
        <v>160.0</v>
      </c>
      <c r="J23" s="34">
        <f t="shared" si="4"/>
        <v>0.28125</v>
      </c>
      <c r="K23" s="17" t="s">
        <v>463</v>
      </c>
      <c r="L23" s="17"/>
      <c r="M23" s="18" t="s">
        <v>464</v>
      </c>
      <c r="N23" s="17"/>
      <c r="O23" s="17"/>
    </row>
    <row r="24" ht="43.5" customHeight="1">
      <c r="A24" s="18" t="s">
        <v>465</v>
      </c>
      <c r="B24" s="18" t="s">
        <v>466</v>
      </c>
      <c r="C24" s="17">
        <v>0.0</v>
      </c>
      <c r="D24" s="17">
        <v>0.0</v>
      </c>
      <c r="E24" s="17">
        <v>0.0</v>
      </c>
      <c r="F24" s="17">
        <v>0.0</v>
      </c>
      <c r="G24" s="17">
        <v>0.0</v>
      </c>
      <c r="H24" s="17">
        <f t="shared" si="3"/>
        <v>0</v>
      </c>
      <c r="I24" s="17">
        <v>60.0</v>
      </c>
      <c r="J24" s="34">
        <f t="shared" si="4"/>
        <v>0</v>
      </c>
      <c r="K24" s="18" t="s">
        <v>467</v>
      </c>
      <c r="L24" s="35" t="s">
        <v>468</v>
      </c>
      <c r="M24" s="18" t="s">
        <v>469</v>
      </c>
      <c r="N24" s="17"/>
      <c r="O24" s="17"/>
    </row>
    <row r="25" ht="43.5" customHeight="1">
      <c r="A25" s="17" t="s">
        <v>470</v>
      </c>
      <c r="B25" s="17" t="s">
        <v>421</v>
      </c>
      <c r="C25" s="17">
        <v>0.0</v>
      </c>
      <c r="D25" s="18">
        <v>0.0</v>
      </c>
      <c r="E25" s="17">
        <v>0.0</v>
      </c>
      <c r="F25" s="17">
        <v>0.0</v>
      </c>
      <c r="G25" s="17">
        <v>0.0</v>
      </c>
      <c r="H25" s="17">
        <f t="shared" si="3"/>
        <v>0</v>
      </c>
      <c r="I25" s="17">
        <v>6000.0</v>
      </c>
      <c r="J25" s="34">
        <f t="shared" si="4"/>
        <v>0</v>
      </c>
      <c r="K25" s="17" t="s">
        <v>471</v>
      </c>
      <c r="L25" s="35" t="s">
        <v>472</v>
      </c>
      <c r="M25" s="18" t="s">
        <v>473</v>
      </c>
      <c r="N25" s="17"/>
      <c r="O25" s="50"/>
    </row>
    <row r="26" ht="43.5" customHeight="1">
      <c r="A26" s="18" t="s">
        <v>474</v>
      </c>
      <c r="B26" s="18" t="s">
        <v>475</v>
      </c>
      <c r="C26" s="17">
        <v>0.0</v>
      </c>
      <c r="D26" s="17">
        <v>0.0</v>
      </c>
      <c r="E26" s="17">
        <v>0.0</v>
      </c>
      <c r="F26" s="17">
        <v>0.0</v>
      </c>
      <c r="G26" s="17">
        <v>0.0</v>
      </c>
      <c r="H26" s="17">
        <f t="shared" si="3"/>
        <v>0</v>
      </c>
      <c r="I26" s="17">
        <v>30.0</v>
      </c>
      <c r="J26" s="34">
        <f t="shared" si="4"/>
        <v>0</v>
      </c>
      <c r="K26" s="18" t="s">
        <v>476</v>
      </c>
      <c r="L26" s="35" t="s">
        <v>477</v>
      </c>
      <c r="M26" s="18" t="s">
        <v>478</v>
      </c>
      <c r="N26" s="17"/>
      <c r="O26" s="17"/>
    </row>
    <row r="27" ht="43.5" customHeight="1">
      <c r="A27" s="17" t="s">
        <v>479</v>
      </c>
      <c r="B27" s="17" t="s">
        <v>480</v>
      </c>
      <c r="C27" s="17">
        <v>0.0</v>
      </c>
      <c r="D27" s="17">
        <v>0.0</v>
      </c>
      <c r="E27" s="17">
        <v>0.0</v>
      </c>
      <c r="F27" s="17">
        <v>0.0</v>
      </c>
      <c r="G27" s="17">
        <v>0.0</v>
      </c>
      <c r="H27" s="17">
        <f t="shared" si="3"/>
        <v>0</v>
      </c>
      <c r="I27" s="17">
        <v>30.0</v>
      </c>
      <c r="J27" s="34">
        <f t="shared" si="4"/>
        <v>0</v>
      </c>
      <c r="K27" s="18" t="s">
        <v>481</v>
      </c>
      <c r="L27" s="35" t="s">
        <v>482</v>
      </c>
      <c r="M27" s="18" t="s">
        <v>483</v>
      </c>
      <c r="N27" s="17"/>
      <c r="O27" s="17"/>
    </row>
    <row r="28" ht="14.25" customHeight="1">
      <c r="H28" s="66"/>
      <c r="I28" s="66"/>
    </row>
    <row r="29" ht="14.25" customHeight="1">
      <c r="H29" s="67"/>
      <c r="I29" s="67"/>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K1"/>
  </mergeCell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63"/>
    <col customWidth="1" min="2" max="2" width="43.0"/>
    <col customWidth="1" min="3" max="3" width="12.88"/>
    <col customWidth="1" min="4" max="6" width="9.13"/>
    <col customWidth="1" min="7" max="9" width="9.88"/>
    <col customWidth="1" min="10" max="10" width="16.0"/>
    <col customWidth="1" min="11" max="11" width="26.38"/>
    <col customWidth="1" min="12" max="12" width="49.13"/>
    <col customWidth="1" min="13" max="13" width="48.13"/>
    <col customWidth="1" min="14" max="14" width="22.13"/>
    <col customWidth="1" min="15" max="15" width="21.88"/>
    <col customWidth="1" min="16" max="26" width="10.63"/>
  </cols>
  <sheetData>
    <row r="1" ht="32.25" customHeight="1">
      <c r="A1" s="68" t="s">
        <v>484</v>
      </c>
      <c r="B1" s="2"/>
      <c r="C1" s="2"/>
      <c r="D1" s="2"/>
      <c r="E1" s="2"/>
      <c r="F1" s="2"/>
      <c r="G1" s="2"/>
      <c r="H1" s="2"/>
      <c r="I1" s="2"/>
      <c r="J1" s="2"/>
      <c r="K1" s="27"/>
      <c r="L1" s="27"/>
      <c r="M1" s="27"/>
      <c r="N1" s="27"/>
      <c r="O1" s="28"/>
    </row>
    <row r="2" ht="14.25" customHeight="1">
      <c r="J2" s="69"/>
    </row>
    <row r="3" ht="14.25" customHeight="1">
      <c r="A3" s="46" t="s">
        <v>1</v>
      </c>
      <c r="B3" s="47"/>
      <c r="C3" s="47"/>
      <c r="D3" s="47"/>
      <c r="E3" s="47"/>
      <c r="F3" s="47"/>
      <c r="G3" s="47"/>
      <c r="H3" s="47"/>
      <c r="I3" s="47"/>
      <c r="J3" s="47"/>
      <c r="K3" s="48"/>
      <c r="L3" s="48"/>
      <c r="M3" s="48"/>
      <c r="N3" s="48"/>
      <c r="O3" s="48"/>
    </row>
    <row r="4" ht="48.75" customHeight="1">
      <c r="A4" s="11" t="s">
        <v>2</v>
      </c>
      <c r="B4" s="11" t="s">
        <v>3</v>
      </c>
      <c r="C4" s="11" t="s">
        <v>4</v>
      </c>
      <c r="D4" s="11" t="s">
        <v>485</v>
      </c>
      <c r="E4" s="11" t="s">
        <v>486</v>
      </c>
      <c r="F4" s="11" t="s">
        <v>487</v>
      </c>
      <c r="G4" s="11" t="s">
        <v>488</v>
      </c>
      <c r="H4" s="11" t="s">
        <v>9</v>
      </c>
      <c r="I4" s="11" t="s">
        <v>10</v>
      </c>
      <c r="J4" s="26" t="s">
        <v>489</v>
      </c>
      <c r="K4" s="11" t="s">
        <v>12</v>
      </c>
      <c r="L4" s="11" t="s">
        <v>490</v>
      </c>
      <c r="M4" s="11" t="s">
        <v>491</v>
      </c>
      <c r="N4" s="11" t="s">
        <v>492</v>
      </c>
      <c r="O4" s="11" t="s">
        <v>493</v>
      </c>
    </row>
    <row r="5" ht="48.75" customHeight="1">
      <c r="A5" s="17" t="s">
        <v>494</v>
      </c>
      <c r="B5" s="18" t="s">
        <v>495</v>
      </c>
      <c r="C5" s="17" t="s">
        <v>496</v>
      </c>
      <c r="D5" s="19">
        <v>0.0</v>
      </c>
      <c r="E5" s="19">
        <v>0.02</v>
      </c>
      <c r="F5" s="70">
        <v>0.0</v>
      </c>
      <c r="G5" s="19">
        <v>0.0</v>
      </c>
      <c r="H5" s="58">
        <f t="shared" ref="H5:H9" si="1">+D5+E5+F5+G5</f>
        <v>0.02</v>
      </c>
      <c r="I5" s="19">
        <v>0.05</v>
      </c>
      <c r="J5" s="34">
        <f t="shared" ref="J5:J10" si="2">H5/I5</f>
        <v>0.4</v>
      </c>
      <c r="K5" s="18"/>
      <c r="L5" s="18" t="s">
        <v>497</v>
      </c>
      <c r="M5" s="71" t="s">
        <v>498</v>
      </c>
      <c r="N5" s="17"/>
      <c r="O5" s="17"/>
    </row>
    <row r="6" ht="48.75" customHeight="1">
      <c r="A6" s="17" t="s">
        <v>499</v>
      </c>
      <c r="B6" s="18" t="s">
        <v>500</v>
      </c>
      <c r="C6" s="18" t="s">
        <v>501</v>
      </c>
      <c r="D6" s="19">
        <v>0.0</v>
      </c>
      <c r="E6" s="70">
        <v>0.04</v>
      </c>
      <c r="F6" s="17">
        <v>0.0</v>
      </c>
      <c r="G6" s="70">
        <v>0.0</v>
      </c>
      <c r="H6" s="58">
        <f t="shared" si="1"/>
        <v>0.04</v>
      </c>
      <c r="I6" s="19">
        <v>0.08</v>
      </c>
      <c r="J6" s="34">
        <f t="shared" si="2"/>
        <v>0.5</v>
      </c>
      <c r="K6" s="18"/>
      <c r="L6" s="18" t="s">
        <v>502</v>
      </c>
      <c r="M6" s="36" t="s">
        <v>503</v>
      </c>
      <c r="N6" s="17"/>
      <c r="O6" s="17"/>
    </row>
    <row r="7" ht="48.75" customHeight="1">
      <c r="A7" s="17" t="s">
        <v>504</v>
      </c>
      <c r="B7" s="17" t="s">
        <v>505</v>
      </c>
      <c r="C7" s="18" t="s">
        <v>506</v>
      </c>
      <c r="D7" s="18">
        <v>6.0</v>
      </c>
      <c r="E7" s="18">
        <v>2.0</v>
      </c>
      <c r="F7" s="17">
        <v>0.0</v>
      </c>
      <c r="G7" s="17">
        <v>0.0</v>
      </c>
      <c r="H7" s="17">
        <f t="shared" si="1"/>
        <v>8</v>
      </c>
      <c r="I7" s="18">
        <v>20.0</v>
      </c>
      <c r="J7" s="34">
        <f t="shared" si="2"/>
        <v>0.4</v>
      </c>
      <c r="K7" s="18"/>
      <c r="L7" s="18" t="s">
        <v>507</v>
      </c>
      <c r="M7" s="18" t="s">
        <v>508</v>
      </c>
      <c r="N7" s="17"/>
      <c r="O7" s="17"/>
    </row>
    <row r="8" ht="48.75" customHeight="1">
      <c r="A8" s="17" t="s">
        <v>509</v>
      </c>
      <c r="B8" s="17" t="s">
        <v>510</v>
      </c>
      <c r="C8" s="17" t="s">
        <v>511</v>
      </c>
      <c r="D8" s="17">
        <v>0.0</v>
      </c>
      <c r="E8" s="18">
        <v>1.0</v>
      </c>
      <c r="F8" s="17">
        <v>0.0</v>
      </c>
      <c r="G8" s="17">
        <v>0.0</v>
      </c>
      <c r="H8" s="17">
        <f t="shared" si="1"/>
        <v>1</v>
      </c>
      <c r="I8" s="17">
        <v>2.0</v>
      </c>
      <c r="J8" s="34">
        <f t="shared" si="2"/>
        <v>0.5</v>
      </c>
      <c r="K8" s="18"/>
      <c r="L8" s="18" t="s">
        <v>512</v>
      </c>
      <c r="M8" s="18" t="s">
        <v>513</v>
      </c>
      <c r="N8" s="17"/>
      <c r="O8" s="17"/>
    </row>
    <row r="9" ht="48.75" customHeight="1">
      <c r="A9" s="17" t="s">
        <v>514</v>
      </c>
      <c r="B9" s="17" t="s">
        <v>515</v>
      </c>
      <c r="C9" s="17"/>
      <c r="D9" s="19">
        <v>0.0</v>
      </c>
      <c r="E9" s="19">
        <v>0.05</v>
      </c>
      <c r="F9" s="70">
        <v>0.0</v>
      </c>
      <c r="G9" s="19">
        <v>0.0</v>
      </c>
      <c r="H9" s="58">
        <f t="shared" si="1"/>
        <v>0.05</v>
      </c>
      <c r="I9" s="19">
        <v>0.2</v>
      </c>
      <c r="J9" s="34">
        <f t="shared" si="2"/>
        <v>0.25</v>
      </c>
      <c r="K9" s="18"/>
      <c r="L9" s="18" t="s">
        <v>516</v>
      </c>
      <c r="M9" s="18" t="s">
        <v>517</v>
      </c>
      <c r="N9" s="17"/>
      <c r="O9" s="17"/>
    </row>
    <row r="10" ht="48.75" customHeight="1">
      <c r="A10" s="72" t="s">
        <v>518</v>
      </c>
      <c r="B10" s="72" t="s">
        <v>519</v>
      </c>
      <c r="C10" s="73"/>
      <c r="D10" s="73">
        <v>10.0</v>
      </c>
      <c r="E10" s="72">
        <v>0.0</v>
      </c>
      <c r="F10" s="72">
        <v>0.0</v>
      </c>
      <c r="G10" s="72">
        <v>0.0</v>
      </c>
      <c r="H10" s="73">
        <f>D10+E10+F10+G10</f>
        <v>10</v>
      </c>
      <c r="I10" s="73">
        <v>10.0</v>
      </c>
      <c r="J10" s="34">
        <f t="shared" si="2"/>
        <v>1</v>
      </c>
      <c r="K10" s="73"/>
      <c r="L10" s="73" t="s">
        <v>520</v>
      </c>
      <c r="M10" s="73" t="s">
        <v>521</v>
      </c>
      <c r="N10" s="72"/>
      <c r="O10" s="72"/>
      <c r="P10" s="74"/>
      <c r="Q10" s="74"/>
      <c r="R10" s="74"/>
      <c r="S10" s="74"/>
      <c r="T10" s="74"/>
      <c r="U10" s="74"/>
      <c r="V10" s="74"/>
      <c r="W10" s="74"/>
      <c r="X10" s="74"/>
      <c r="Y10" s="74"/>
      <c r="Z10" s="74"/>
    </row>
    <row r="11" ht="48.75" customHeight="1">
      <c r="J11" s="69"/>
    </row>
    <row r="12" ht="48.75" customHeight="1">
      <c r="A12" s="29" t="s">
        <v>53</v>
      </c>
      <c r="B12" s="30"/>
      <c r="C12" s="30"/>
      <c r="D12" s="30"/>
      <c r="E12" s="30"/>
      <c r="F12" s="30"/>
      <c r="G12" s="30"/>
      <c r="H12" s="30"/>
      <c r="I12" s="30"/>
      <c r="J12" s="30"/>
      <c r="K12" s="31"/>
      <c r="L12" s="31"/>
      <c r="M12" s="31"/>
      <c r="N12" s="31"/>
      <c r="O12" s="31"/>
    </row>
    <row r="13" ht="48.75" customHeight="1">
      <c r="A13" s="11" t="s">
        <v>2</v>
      </c>
      <c r="B13" s="11" t="s">
        <v>3</v>
      </c>
      <c r="C13" s="11" t="s">
        <v>4</v>
      </c>
      <c r="D13" s="11" t="s">
        <v>522</v>
      </c>
      <c r="E13" s="11" t="s">
        <v>523</v>
      </c>
      <c r="F13" s="11" t="s">
        <v>524</v>
      </c>
      <c r="G13" s="11" t="s">
        <v>525</v>
      </c>
      <c r="H13" s="11" t="s">
        <v>9</v>
      </c>
      <c r="I13" s="11" t="s">
        <v>10</v>
      </c>
      <c r="J13" s="26" t="s">
        <v>526</v>
      </c>
      <c r="K13" s="11"/>
      <c r="L13" s="11" t="s">
        <v>527</v>
      </c>
      <c r="M13" s="11" t="s">
        <v>528</v>
      </c>
      <c r="N13" s="11" t="s">
        <v>529</v>
      </c>
      <c r="O13" s="11" t="s">
        <v>530</v>
      </c>
    </row>
    <row r="14" ht="48.75" customHeight="1">
      <c r="A14" s="17" t="s">
        <v>531</v>
      </c>
      <c r="B14" s="17" t="s">
        <v>532</v>
      </c>
      <c r="C14" s="18" t="s">
        <v>533</v>
      </c>
      <c r="D14" s="18">
        <v>10000.0</v>
      </c>
      <c r="E14" s="18">
        <v>0.0</v>
      </c>
      <c r="F14" s="17">
        <v>0.0</v>
      </c>
      <c r="G14" s="17">
        <v>0.0</v>
      </c>
      <c r="H14" s="17">
        <f>+D14+E14+F14+G14</f>
        <v>10000</v>
      </c>
      <c r="I14" s="17">
        <v>5000.0</v>
      </c>
      <c r="J14" s="34">
        <f t="shared" ref="J14:J19" si="3">H14/I14</f>
        <v>2</v>
      </c>
      <c r="K14" s="18"/>
      <c r="L14" s="18" t="s">
        <v>534</v>
      </c>
      <c r="M14" s="18" t="s">
        <v>535</v>
      </c>
      <c r="N14" s="17"/>
      <c r="O14" s="17"/>
    </row>
    <row r="15" ht="48.75" customHeight="1">
      <c r="A15" s="18" t="s">
        <v>536</v>
      </c>
      <c r="B15" s="18" t="s">
        <v>537</v>
      </c>
      <c r="C15" s="18" t="s">
        <v>538</v>
      </c>
      <c r="D15" s="18">
        <v>1.0</v>
      </c>
      <c r="E15" s="18">
        <v>0.0</v>
      </c>
      <c r="F15" s="18">
        <v>0.0</v>
      </c>
      <c r="G15" s="18">
        <v>0.0</v>
      </c>
      <c r="H15" s="18">
        <f t="shared" ref="H15:H16" si="4">D15+E15+F15+G15</f>
        <v>1</v>
      </c>
      <c r="I15" s="19">
        <v>0.1</v>
      </c>
      <c r="J15" s="34">
        <f t="shared" si="3"/>
        <v>10</v>
      </c>
      <c r="K15" s="75"/>
      <c r="L15" s="75" t="s">
        <v>539</v>
      </c>
      <c r="M15" s="76" t="s">
        <v>540</v>
      </c>
      <c r="N15" s="17"/>
      <c r="O15" s="17"/>
    </row>
    <row r="16" ht="48.75" customHeight="1">
      <c r="A16" s="18" t="s">
        <v>541</v>
      </c>
      <c r="B16" s="17" t="s">
        <v>542</v>
      </c>
      <c r="C16" s="18" t="s">
        <v>543</v>
      </c>
      <c r="D16" s="18">
        <v>0.0</v>
      </c>
      <c r="E16" s="18">
        <v>1.0</v>
      </c>
      <c r="F16" s="18">
        <v>0.0</v>
      </c>
      <c r="G16" s="18">
        <v>0.0</v>
      </c>
      <c r="H16" s="18">
        <f t="shared" si="4"/>
        <v>1</v>
      </c>
      <c r="I16" s="18">
        <v>2.0</v>
      </c>
      <c r="J16" s="34">
        <f t="shared" si="3"/>
        <v>0.5</v>
      </c>
      <c r="K16" s="18"/>
      <c r="L16" s="18" t="s">
        <v>544</v>
      </c>
      <c r="M16" s="18" t="s">
        <v>545</v>
      </c>
      <c r="N16" s="17"/>
      <c r="O16" s="17"/>
    </row>
    <row r="17" ht="48.75" customHeight="1">
      <c r="A17" s="17" t="s">
        <v>546</v>
      </c>
      <c r="B17" s="17" t="s">
        <v>547</v>
      </c>
      <c r="C17" s="17" t="s">
        <v>548</v>
      </c>
      <c r="D17" s="18">
        <v>4.0</v>
      </c>
      <c r="E17" s="17">
        <v>0.0</v>
      </c>
      <c r="F17" s="17">
        <v>0.0</v>
      </c>
      <c r="G17" s="17">
        <v>0.0</v>
      </c>
      <c r="H17" s="17">
        <f t="shared" ref="H17:H19" si="5">+D17+E17+F17+G17</f>
        <v>4</v>
      </c>
      <c r="I17" s="17">
        <v>4.0</v>
      </c>
      <c r="J17" s="34">
        <f t="shared" si="3"/>
        <v>1</v>
      </c>
      <c r="K17" s="18"/>
      <c r="L17" s="18" t="s">
        <v>549</v>
      </c>
      <c r="M17" s="18" t="s">
        <v>550</v>
      </c>
      <c r="N17" s="17"/>
      <c r="O17" s="17"/>
    </row>
    <row r="18" ht="48.75" customHeight="1">
      <c r="A18" s="17" t="s">
        <v>551</v>
      </c>
      <c r="B18" s="17" t="s">
        <v>552</v>
      </c>
      <c r="C18" s="18" t="s">
        <v>553</v>
      </c>
      <c r="D18" s="17">
        <v>0.0</v>
      </c>
      <c r="E18" s="18">
        <v>1.0</v>
      </c>
      <c r="F18" s="17">
        <v>0.0</v>
      </c>
      <c r="G18" s="17">
        <v>0.0</v>
      </c>
      <c r="H18" s="17">
        <f t="shared" si="5"/>
        <v>1</v>
      </c>
      <c r="I18" s="17">
        <v>2.0</v>
      </c>
      <c r="J18" s="34">
        <f t="shared" si="3"/>
        <v>0.5</v>
      </c>
      <c r="K18" s="18"/>
      <c r="L18" s="18" t="s">
        <v>554</v>
      </c>
      <c r="M18" s="18" t="s">
        <v>555</v>
      </c>
      <c r="N18" s="17"/>
      <c r="O18" s="17"/>
    </row>
    <row r="19" ht="48.75" customHeight="1">
      <c r="A19" s="73" t="s">
        <v>556</v>
      </c>
      <c r="B19" s="73" t="s">
        <v>557</v>
      </c>
      <c r="C19" s="73"/>
      <c r="D19" s="73">
        <v>0.0</v>
      </c>
      <c r="E19" s="73">
        <v>1.0</v>
      </c>
      <c r="F19" s="72">
        <v>0.0</v>
      </c>
      <c r="G19" s="72">
        <v>0.0</v>
      </c>
      <c r="H19" s="72">
        <f t="shared" si="5"/>
        <v>1</v>
      </c>
      <c r="I19" s="73">
        <v>3.0</v>
      </c>
      <c r="J19" s="34">
        <f t="shared" si="3"/>
        <v>0.3333333333</v>
      </c>
      <c r="K19" s="77"/>
      <c r="L19" s="77" t="s">
        <v>558</v>
      </c>
      <c r="M19" s="77" t="s">
        <v>559</v>
      </c>
      <c r="N19" s="72"/>
      <c r="O19" s="72"/>
      <c r="P19" s="74"/>
      <c r="Q19" s="74"/>
      <c r="R19" s="74"/>
      <c r="S19" s="74"/>
      <c r="T19" s="74"/>
      <c r="U19" s="74"/>
      <c r="V19" s="74"/>
      <c r="W19" s="74"/>
      <c r="X19" s="74"/>
      <c r="Y19" s="74"/>
      <c r="Z19" s="74"/>
    </row>
    <row r="20" ht="14.25" customHeight="1">
      <c r="J20" s="69"/>
    </row>
    <row r="21" ht="14.25" customHeight="1">
      <c r="J21" s="69"/>
    </row>
    <row r="22" ht="14.25" customHeight="1">
      <c r="J22" s="69"/>
    </row>
    <row r="23" ht="14.25" customHeight="1">
      <c r="J23" s="69"/>
    </row>
    <row r="24" ht="14.25" customHeight="1">
      <c r="J24" s="69"/>
    </row>
    <row r="25" ht="14.25" customHeight="1">
      <c r="J25" s="69"/>
    </row>
    <row r="26" ht="14.25" customHeight="1">
      <c r="J26" s="69"/>
    </row>
    <row r="27" ht="14.25" customHeight="1">
      <c r="J27" s="69"/>
    </row>
    <row r="28" ht="14.25" customHeight="1">
      <c r="J28" s="69"/>
    </row>
    <row r="29" ht="14.25" customHeight="1">
      <c r="J29" s="69"/>
    </row>
    <row r="30" ht="14.25" customHeight="1">
      <c r="J30" s="69"/>
    </row>
    <row r="31" ht="14.25" customHeight="1">
      <c r="J31" s="69"/>
    </row>
    <row r="32" ht="14.25" customHeight="1">
      <c r="J32" s="69"/>
    </row>
    <row r="33" ht="14.25" customHeight="1">
      <c r="J33" s="69"/>
    </row>
    <row r="34" ht="14.25" customHeight="1">
      <c r="J34" s="69"/>
    </row>
    <row r="35" ht="14.25" customHeight="1">
      <c r="J35" s="69"/>
    </row>
    <row r="36" ht="14.25" customHeight="1">
      <c r="J36" s="69"/>
    </row>
    <row r="37" ht="14.25" customHeight="1">
      <c r="J37" s="69"/>
    </row>
    <row r="38" ht="14.25" customHeight="1">
      <c r="J38" s="69"/>
    </row>
    <row r="39" ht="14.25" customHeight="1">
      <c r="J39" s="69"/>
    </row>
    <row r="40" ht="14.25" customHeight="1">
      <c r="J40" s="69"/>
    </row>
    <row r="41" ht="14.25" customHeight="1">
      <c r="J41" s="69"/>
    </row>
    <row r="42" ht="14.25" customHeight="1">
      <c r="J42" s="69"/>
    </row>
    <row r="43" ht="14.25" customHeight="1">
      <c r="J43" s="69"/>
    </row>
    <row r="44" ht="14.25" customHeight="1">
      <c r="J44" s="69"/>
    </row>
    <row r="45" ht="14.25" customHeight="1">
      <c r="J45" s="69"/>
    </row>
    <row r="46" ht="14.25" customHeight="1">
      <c r="J46" s="69"/>
    </row>
    <row r="47" ht="14.25" customHeight="1">
      <c r="J47" s="69"/>
    </row>
    <row r="48" ht="14.25" customHeight="1">
      <c r="J48" s="69"/>
    </row>
    <row r="49" ht="14.25" customHeight="1">
      <c r="J49" s="69"/>
    </row>
    <row r="50" ht="14.25" customHeight="1">
      <c r="J50" s="69"/>
    </row>
    <row r="51" ht="14.25" customHeight="1">
      <c r="J51" s="69"/>
    </row>
    <row r="52" ht="14.25" customHeight="1">
      <c r="J52" s="69"/>
    </row>
    <row r="53" ht="14.25" customHeight="1">
      <c r="J53" s="69"/>
    </row>
    <row r="54" ht="14.25" customHeight="1">
      <c r="J54" s="69"/>
    </row>
    <row r="55" ht="14.25" customHeight="1">
      <c r="J55" s="69"/>
    </row>
    <row r="56" ht="14.25" customHeight="1">
      <c r="J56" s="69"/>
    </row>
    <row r="57" ht="14.25" customHeight="1">
      <c r="J57" s="69"/>
    </row>
    <row r="58" ht="14.25" customHeight="1">
      <c r="J58" s="69"/>
    </row>
    <row r="59" ht="14.25" customHeight="1">
      <c r="J59" s="69"/>
    </row>
    <row r="60" ht="14.25" customHeight="1">
      <c r="J60" s="69"/>
    </row>
    <row r="61" ht="14.25" customHeight="1">
      <c r="J61" s="69"/>
    </row>
    <row r="62" ht="14.25" customHeight="1">
      <c r="J62" s="69"/>
    </row>
    <row r="63" ht="14.25" customHeight="1">
      <c r="J63" s="69"/>
    </row>
    <row r="64" ht="14.25" customHeight="1">
      <c r="J64" s="69"/>
    </row>
    <row r="65" ht="14.25" customHeight="1">
      <c r="J65" s="69"/>
    </row>
    <row r="66" ht="14.25" customHeight="1">
      <c r="J66" s="69"/>
    </row>
    <row r="67" ht="14.25" customHeight="1">
      <c r="J67" s="69"/>
    </row>
    <row r="68" ht="14.25" customHeight="1">
      <c r="J68" s="69"/>
    </row>
    <row r="69" ht="14.25" customHeight="1">
      <c r="J69" s="69"/>
    </row>
    <row r="70" ht="14.25" customHeight="1">
      <c r="J70" s="69"/>
    </row>
    <row r="71" ht="14.25" customHeight="1">
      <c r="J71" s="69"/>
    </row>
    <row r="72" ht="14.25" customHeight="1">
      <c r="J72" s="69"/>
    </row>
    <row r="73" ht="14.25" customHeight="1">
      <c r="J73" s="69"/>
    </row>
    <row r="74" ht="14.25" customHeight="1">
      <c r="J74" s="69"/>
    </row>
    <row r="75" ht="14.25" customHeight="1">
      <c r="J75" s="69"/>
    </row>
    <row r="76" ht="14.25" customHeight="1">
      <c r="J76" s="69"/>
    </row>
    <row r="77" ht="14.25" customHeight="1">
      <c r="J77" s="69"/>
    </row>
    <row r="78" ht="14.25" customHeight="1">
      <c r="J78" s="69"/>
    </row>
    <row r="79" ht="14.25" customHeight="1">
      <c r="J79" s="69"/>
    </row>
    <row r="80" ht="14.25" customHeight="1">
      <c r="J80" s="69"/>
    </row>
    <row r="81" ht="14.25" customHeight="1">
      <c r="J81" s="69"/>
    </row>
    <row r="82" ht="14.25" customHeight="1">
      <c r="J82" s="69"/>
    </row>
    <row r="83" ht="14.25" customHeight="1">
      <c r="J83" s="69"/>
    </row>
    <row r="84" ht="14.25" customHeight="1">
      <c r="J84" s="69"/>
    </row>
    <row r="85" ht="14.25" customHeight="1">
      <c r="J85" s="69"/>
    </row>
    <row r="86" ht="14.25" customHeight="1">
      <c r="J86" s="69"/>
    </row>
    <row r="87" ht="14.25" customHeight="1">
      <c r="J87" s="69"/>
    </row>
    <row r="88" ht="14.25" customHeight="1">
      <c r="J88" s="69"/>
    </row>
    <row r="89" ht="14.25" customHeight="1">
      <c r="J89" s="69"/>
    </row>
    <row r="90" ht="14.25" customHeight="1">
      <c r="J90" s="69"/>
    </row>
    <row r="91" ht="14.25" customHeight="1">
      <c r="J91" s="69"/>
    </row>
    <row r="92" ht="14.25" customHeight="1">
      <c r="J92" s="69"/>
    </row>
    <row r="93" ht="14.25" customHeight="1">
      <c r="J93" s="69"/>
    </row>
    <row r="94" ht="14.25" customHeight="1">
      <c r="J94" s="69"/>
    </row>
    <row r="95" ht="14.25" customHeight="1">
      <c r="J95" s="69"/>
    </row>
    <row r="96" ht="14.25" customHeight="1">
      <c r="J96" s="69"/>
    </row>
    <row r="97" ht="14.25" customHeight="1">
      <c r="J97" s="69"/>
    </row>
    <row r="98" ht="14.25" customHeight="1">
      <c r="J98" s="69"/>
    </row>
    <row r="99" ht="14.25" customHeight="1">
      <c r="J99" s="69"/>
    </row>
    <row r="100" ht="14.25" customHeight="1">
      <c r="J100" s="69"/>
    </row>
    <row r="101" ht="14.25" customHeight="1">
      <c r="J101" s="69"/>
    </row>
    <row r="102" ht="14.25" customHeight="1">
      <c r="J102" s="69"/>
    </row>
    <row r="103" ht="14.25" customHeight="1">
      <c r="J103" s="69"/>
    </row>
    <row r="104" ht="14.25" customHeight="1">
      <c r="J104" s="69"/>
    </row>
    <row r="105" ht="14.25" customHeight="1">
      <c r="J105" s="69"/>
    </row>
    <row r="106" ht="14.25" customHeight="1">
      <c r="J106" s="69"/>
    </row>
    <row r="107" ht="14.25" customHeight="1">
      <c r="J107" s="69"/>
    </row>
    <row r="108" ht="14.25" customHeight="1">
      <c r="J108" s="69"/>
    </row>
    <row r="109" ht="14.25" customHeight="1">
      <c r="J109" s="69"/>
    </row>
    <row r="110" ht="14.25" customHeight="1">
      <c r="J110" s="69"/>
    </row>
    <row r="111" ht="14.25" customHeight="1">
      <c r="J111" s="69"/>
    </row>
    <row r="112" ht="14.25" customHeight="1">
      <c r="J112" s="69"/>
    </row>
    <row r="113" ht="14.25" customHeight="1">
      <c r="J113" s="69"/>
    </row>
    <row r="114" ht="14.25" customHeight="1">
      <c r="J114" s="69"/>
    </row>
    <row r="115" ht="14.25" customHeight="1">
      <c r="J115" s="69"/>
    </row>
    <row r="116" ht="14.25" customHeight="1">
      <c r="J116" s="69"/>
    </row>
    <row r="117" ht="14.25" customHeight="1">
      <c r="J117" s="69"/>
    </row>
    <row r="118" ht="14.25" customHeight="1">
      <c r="J118" s="69"/>
    </row>
    <row r="119" ht="14.25" customHeight="1">
      <c r="J119" s="69"/>
    </row>
    <row r="120" ht="14.25" customHeight="1">
      <c r="J120" s="69"/>
    </row>
    <row r="121" ht="14.25" customHeight="1">
      <c r="J121" s="69"/>
    </row>
    <row r="122" ht="14.25" customHeight="1">
      <c r="J122" s="69"/>
    </row>
    <row r="123" ht="14.25" customHeight="1">
      <c r="J123" s="69"/>
    </row>
    <row r="124" ht="14.25" customHeight="1">
      <c r="J124" s="69"/>
    </row>
    <row r="125" ht="14.25" customHeight="1">
      <c r="J125" s="69"/>
    </row>
    <row r="126" ht="14.25" customHeight="1">
      <c r="J126" s="69"/>
    </row>
    <row r="127" ht="14.25" customHeight="1">
      <c r="J127" s="69"/>
    </row>
    <row r="128" ht="14.25" customHeight="1">
      <c r="J128" s="69"/>
    </row>
    <row r="129" ht="14.25" customHeight="1">
      <c r="J129" s="69"/>
    </row>
    <row r="130" ht="14.25" customHeight="1">
      <c r="J130" s="69"/>
    </row>
    <row r="131" ht="14.25" customHeight="1">
      <c r="J131" s="69"/>
    </row>
    <row r="132" ht="14.25" customHeight="1">
      <c r="J132" s="69"/>
    </row>
    <row r="133" ht="14.25" customHeight="1">
      <c r="J133" s="69"/>
    </row>
    <row r="134" ht="14.25" customHeight="1">
      <c r="J134" s="69"/>
    </row>
    <row r="135" ht="14.25" customHeight="1">
      <c r="J135" s="69"/>
    </row>
    <row r="136" ht="14.25" customHeight="1">
      <c r="J136" s="69"/>
    </row>
    <row r="137" ht="14.25" customHeight="1">
      <c r="J137" s="69"/>
    </row>
    <row r="138" ht="14.25" customHeight="1">
      <c r="J138" s="69"/>
    </row>
    <row r="139" ht="14.25" customHeight="1">
      <c r="J139" s="69"/>
    </row>
    <row r="140" ht="14.25" customHeight="1">
      <c r="J140" s="69"/>
    </row>
    <row r="141" ht="14.25" customHeight="1">
      <c r="J141" s="69"/>
    </row>
    <row r="142" ht="14.25" customHeight="1">
      <c r="J142" s="69"/>
    </row>
    <row r="143" ht="14.25" customHeight="1">
      <c r="J143" s="69"/>
    </row>
    <row r="144" ht="14.25" customHeight="1">
      <c r="J144" s="69"/>
    </row>
    <row r="145" ht="14.25" customHeight="1">
      <c r="J145" s="69"/>
    </row>
    <row r="146" ht="14.25" customHeight="1">
      <c r="J146" s="69"/>
    </row>
    <row r="147" ht="14.25" customHeight="1">
      <c r="J147" s="69"/>
    </row>
    <row r="148" ht="14.25" customHeight="1">
      <c r="J148" s="69"/>
    </row>
    <row r="149" ht="14.25" customHeight="1">
      <c r="J149" s="69"/>
    </row>
    <row r="150" ht="14.25" customHeight="1">
      <c r="J150" s="69"/>
    </row>
    <row r="151" ht="14.25" customHeight="1">
      <c r="J151" s="69"/>
    </row>
    <row r="152" ht="14.25" customHeight="1">
      <c r="J152" s="69"/>
    </row>
    <row r="153" ht="14.25" customHeight="1">
      <c r="J153" s="69"/>
    </row>
    <row r="154" ht="14.25" customHeight="1">
      <c r="J154" s="69"/>
    </row>
    <row r="155" ht="14.25" customHeight="1">
      <c r="J155" s="69"/>
    </row>
    <row r="156" ht="14.25" customHeight="1">
      <c r="J156" s="69"/>
    </row>
    <row r="157" ht="14.25" customHeight="1">
      <c r="J157" s="69"/>
    </row>
    <row r="158" ht="14.25" customHeight="1">
      <c r="J158" s="69"/>
    </row>
    <row r="159" ht="14.25" customHeight="1">
      <c r="J159" s="69"/>
    </row>
    <row r="160" ht="14.25" customHeight="1">
      <c r="J160" s="69"/>
    </row>
    <row r="161" ht="14.25" customHeight="1">
      <c r="J161" s="69"/>
    </row>
    <row r="162" ht="14.25" customHeight="1">
      <c r="J162" s="69"/>
    </row>
    <row r="163" ht="14.25" customHeight="1">
      <c r="J163" s="69"/>
    </row>
    <row r="164" ht="14.25" customHeight="1">
      <c r="J164" s="69"/>
    </row>
    <row r="165" ht="14.25" customHeight="1">
      <c r="J165" s="69"/>
    </row>
    <row r="166" ht="14.25" customHeight="1">
      <c r="J166" s="69"/>
    </row>
    <row r="167" ht="14.25" customHeight="1">
      <c r="J167" s="69"/>
    </row>
    <row r="168" ht="14.25" customHeight="1">
      <c r="J168" s="69"/>
    </row>
    <row r="169" ht="14.25" customHeight="1">
      <c r="J169" s="69"/>
    </row>
    <row r="170" ht="14.25" customHeight="1">
      <c r="J170" s="69"/>
    </row>
    <row r="171" ht="14.25" customHeight="1">
      <c r="J171" s="69"/>
    </row>
    <row r="172" ht="14.25" customHeight="1">
      <c r="J172" s="69"/>
    </row>
    <row r="173" ht="14.25" customHeight="1">
      <c r="J173" s="69"/>
    </row>
    <row r="174" ht="14.25" customHeight="1">
      <c r="J174" s="69"/>
    </row>
    <row r="175" ht="14.25" customHeight="1">
      <c r="J175" s="69"/>
    </row>
    <row r="176" ht="14.25" customHeight="1">
      <c r="J176" s="69"/>
    </row>
    <row r="177" ht="14.25" customHeight="1">
      <c r="J177" s="69"/>
    </row>
    <row r="178" ht="14.25" customHeight="1">
      <c r="J178" s="69"/>
    </row>
    <row r="179" ht="14.25" customHeight="1">
      <c r="J179" s="69"/>
    </row>
    <row r="180" ht="14.25" customHeight="1">
      <c r="J180" s="69"/>
    </row>
    <row r="181" ht="14.25" customHeight="1">
      <c r="J181" s="69"/>
    </row>
    <row r="182" ht="14.25" customHeight="1">
      <c r="J182" s="69"/>
    </row>
    <row r="183" ht="14.25" customHeight="1">
      <c r="J183" s="69"/>
    </row>
    <row r="184" ht="14.25" customHeight="1">
      <c r="J184" s="69"/>
    </row>
    <row r="185" ht="14.25" customHeight="1">
      <c r="J185" s="69"/>
    </row>
    <row r="186" ht="14.25" customHeight="1">
      <c r="J186" s="69"/>
    </row>
    <row r="187" ht="14.25" customHeight="1">
      <c r="J187" s="69"/>
    </row>
    <row r="188" ht="14.25" customHeight="1">
      <c r="J188" s="69"/>
    </row>
    <row r="189" ht="14.25" customHeight="1">
      <c r="J189" s="69"/>
    </row>
    <row r="190" ht="14.25" customHeight="1">
      <c r="J190" s="69"/>
    </row>
    <row r="191" ht="14.25" customHeight="1">
      <c r="J191" s="69"/>
    </row>
    <row r="192" ht="14.25" customHeight="1">
      <c r="J192" s="69"/>
    </row>
    <row r="193" ht="14.25" customHeight="1">
      <c r="J193" s="69"/>
    </row>
    <row r="194" ht="14.25" customHeight="1">
      <c r="J194" s="69"/>
    </row>
    <row r="195" ht="14.25" customHeight="1">
      <c r="J195" s="69"/>
    </row>
    <row r="196" ht="14.25" customHeight="1">
      <c r="J196" s="69"/>
    </row>
    <row r="197" ht="14.25" customHeight="1">
      <c r="J197" s="69"/>
    </row>
    <row r="198" ht="14.25" customHeight="1">
      <c r="J198" s="69"/>
    </row>
    <row r="199" ht="14.25" customHeight="1">
      <c r="J199" s="69"/>
    </row>
    <row r="200" ht="14.25" customHeight="1">
      <c r="J200" s="69"/>
    </row>
    <row r="201" ht="14.25" customHeight="1">
      <c r="J201" s="69"/>
    </row>
    <row r="202" ht="14.25" customHeight="1">
      <c r="J202" s="69"/>
    </row>
    <row r="203" ht="14.25" customHeight="1">
      <c r="J203" s="69"/>
    </row>
    <row r="204" ht="14.25" customHeight="1">
      <c r="J204" s="69"/>
    </row>
    <row r="205" ht="14.25" customHeight="1">
      <c r="J205" s="69"/>
    </row>
    <row r="206" ht="14.25" customHeight="1">
      <c r="J206" s="69"/>
    </row>
    <row r="207" ht="14.25" customHeight="1">
      <c r="J207" s="69"/>
    </row>
    <row r="208" ht="14.25" customHeight="1">
      <c r="J208" s="69"/>
    </row>
    <row r="209" ht="14.25" customHeight="1">
      <c r="J209" s="69"/>
    </row>
    <row r="210" ht="14.25" customHeight="1">
      <c r="J210" s="69"/>
    </row>
    <row r="211" ht="14.25" customHeight="1">
      <c r="J211" s="69"/>
    </row>
    <row r="212" ht="14.25" customHeight="1">
      <c r="J212" s="69"/>
    </row>
    <row r="213" ht="14.25" customHeight="1">
      <c r="J213" s="69"/>
    </row>
    <row r="214" ht="14.25" customHeight="1">
      <c r="J214" s="69"/>
    </row>
    <row r="215" ht="14.25" customHeight="1">
      <c r="J215" s="69"/>
    </row>
    <row r="216" ht="14.25" customHeight="1">
      <c r="J216" s="69"/>
    </row>
    <row r="217" ht="14.25" customHeight="1">
      <c r="J217" s="69"/>
    </row>
    <row r="218" ht="14.25" customHeight="1">
      <c r="J218" s="69"/>
    </row>
    <row r="219" ht="14.25" customHeight="1">
      <c r="J219" s="69"/>
    </row>
    <row r="220" ht="14.25" customHeight="1">
      <c r="J220" s="69"/>
    </row>
    <row r="221" ht="14.25" customHeight="1">
      <c r="J221" s="69"/>
    </row>
    <row r="222" ht="14.25" customHeight="1">
      <c r="J222" s="69"/>
    </row>
    <row r="223" ht="14.25" customHeight="1">
      <c r="J223" s="69"/>
    </row>
    <row r="224" ht="14.25" customHeight="1">
      <c r="J224" s="69"/>
    </row>
    <row r="225" ht="14.25" customHeight="1">
      <c r="J225" s="69"/>
    </row>
    <row r="226" ht="14.25" customHeight="1">
      <c r="J226" s="69"/>
    </row>
    <row r="227" ht="14.25" customHeight="1">
      <c r="J227" s="69"/>
    </row>
    <row r="228" ht="14.25" customHeight="1">
      <c r="J228" s="69"/>
    </row>
    <row r="229" ht="14.25" customHeight="1">
      <c r="J229" s="69"/>
    </row>
    <row r="230" ht="14.25" customHeight="1">
      <c r="J230" s="69"/>
    </row>
    <row r="231" ht="14.25" customHeight="1">
      <c r="J231" s="69"/>
    </row>
    <row r="232" ht="14.25" customHeight="1">
      <c r="J232" s="69"/>
    </row>
    <row r="233" ht="14.25" customHeight="1">
      <c r="J233" s="69"/>
    </row>
    <row r="234" ht="14.25" customHeight="1">
      <c r="J234" s="69"/>
    </row>
    <row r="235" ht="14.25" customHeight="1">
      <c r="J235" s="69"/>
    </row>
    <row r="236" ht="14.25" customHeight="1">
      <c r="J236" s="69"/>
    </row>
    <row r="237" ht="14.25" customHeight="1">
      <c r="J237" s="69"/>
    </row>
    <row r="238" ht="14.25" customHeight="1">
      <c r="J238" s="69"/>
    </row>
    <row r="239" ht="14.25" customHeight="1">
      <c r="J239" s="69"/>
    </row>
    <row r="240" ht="14.25" customHeight="1">
      <c r="J240" s="69"/>
    </row>
    <row r="241" ht="14.25" customHeight="1">
      <c r="J241" s="69"/>
    </row>
    <row r="242" ht="14.25" customHeight="1">
      <c r="J242" s="69"/>
    </row>
    <row r="243" ht="14.25" customHeight="1">
      <c r="J243" s="69"/>
    </row>
    <row r="244" ht="14.25" customHeight="1">
      <c r="J244" s="69"/>
    </row>
    <row r="245" ht="14.25" customHeight="1">
      <c r="J245" s="69"/>
    </row>
    <row r="246" ht="14.25" customHeight="1">
      <c r="J246" s="69"/>
    </row>
    <row r="247" ht="14.25" customHeight="1">
      <c r="J247" s="69"/>
    </row>
    <row r="248" ht="14.25" customHeight="1">
      <c r="J248" s="69"/>
    </row>
    <row r="249" ht="14.25" customHeight="1">
      <c r="J249" s="69"/>
    </row>
    <row r="250" ht="14.25" customHeight="1">
      <c r="J250" s="69"/>
    </row>
    <row r="251" ht="14.25" customHeight="1">
      <c r="J251" s="69"/>
    </row>
    <row r="252" ht="14.25" customHeight="1">
      <c r="J252" s="69"/>
    </row>
    <row r="253" ht="14.25" customHeight="1">
      <c r="J253" s="69"/>
    </row>
    <row r="254" ht="14.25" customHeight="1">
      <c r="J254" s="69"/>
    </row>
    <row r="255" ht="14.25" customHeight="1">
      <c r="J255" s="69"/>
    </row>
    <row r="256" ht="14.25" customHeight="1">
      <c r="J256" s="69"/>
    </row>
    <row r="257" ht="14.25" customHeight="1">
      <c r="J257" s="69"/>
    </row>
    <row r="258" ht="14.25" customHeight="1">
      <c r="J258" s="69"/>
    </row>
    <row r="259" ht="14.25" customHeight="1">
      <c r="J259" s="69"/>
    </row>
    <row r="260" ht="14.25" customHeight="1">
      <c r="J260" s="69"/>
    </row>
    <row r="261" ht="14.25" customHeight="1">
      <c r="J261" s="69"/>
    </row>
    <row r="262" ht="14.25" customHeight="1">
      <c r="J262" s="69"/>
    </row>
    <row r="263" ht="14.25" customHeight="1">
      <c r="J263" s="69"/>
    </row>
    <row r="264" ht="14.25" customHeight="1">
      <c r="J264" s="69"/>
    </row>
    <row r="265" ht="14.25" customHeight="1">
      <c r="J265" s="69"/>
    </row>
    <row r="266" ht="14.25" customHeight="1">
      <c r="J266" s="69"/>
    </row>
    <row r="267" ht="14.25" customHeight="1">
      <c r="J267" s="69"/>
    </row>
    <row r="268" ht="14.25" customHeight="1">
      <c r="J268" s="69"/>
    </row>
    <row r="269" ht="14.25" customHeight="1">
      <c r="J269" s="69"/>
    </row>
    <row r="270" ht="14.25" customHeight="1">
      <c r="J270" s="69"/>
    </row>
    <row r="271" ht="14.25" customHeight="1">
      <c r="J271" s="69"/>
    </row>
    <row r="272" ht="14.25" customHeight="1">
      <c r="J272" s="69"/>
    </row>
    <row r="273" ht="14.25" customHeight="1">
      <c r="J273" s="69"/>
    </row>
    <row r="274" ht="14.25" customHeight="1">
      <c r="J274" s="69"/>
    </row>
    <row r="275" ht="14.25" customHeight="1">
      <c r="J275" s="69"/>
    </row>
    <row r="276" ht="14.25" customHeight="1">
      <c r="J276" s="69"/>
    </row>
    <row r="277" ht="14.25" customHeight="1">
      <c r="J277" s="69"/>
    </row>
    <row r="278" ht="14.25" customHeight="1">
      <c r="J278" s="69"/>
    </row>
    <row r="279" ht="14.25" customHeight="1">
      <c r="J279" s="69"/>
    </row>
    <row r="280" ht="14.25" customHeight="1">
      <c r="J280" s="69"/>
    </row>
    <row r="281" ht="14.25" customHeight="1">
      <c r="J281" s="69"/>
    </row>
    <row r="282" ht="14.25" customHeight="1">
      <c r="J282" s="69"/>
    </row>
    <row r="283" ht="14.25" customHeight="1">
      <c r="J283" s="69"/>
    </row>
    <row r="284" ht="14.25" customHeight="1">
      <c r="J284" s="69"/>
    </row>
    <row r="285" ht="14.25" customHeight="1">
      <c r="J285" s="69"/>
    </row>
    <row r="286" ht="14.25" customHeight="1">
      <c r="J286" s="69"/>
    </row>
    <row r="287" ht="14.25" customHeight="1">
      <c r="J287" s="69"/>
    </row>
    <row r="288" ht="14.25" customHeight="1">
      <c r="J288" s="69"/>
    </row>
    <row r="289" ht="14.25" customHeight="1">
      <c r="J289" s="69"/>
    </row>
    <row r="290" ht="14.25" customHeight="1">
      <c r="J290" s="69"/>
    </row>
    <row r="291" ht="14.25" customHeight="1">
      <c r="J291" s="69"/>
    </row>
    <row r="292" ht="14.25" customHeight="1">
      <c r="J292" s="69"/>
    </row>
    <row r="293" ht="14.25" customHeight="1">
      <c r="J293" s="69"/>
    </row>
    <row r="294" ht="14.25" customHeight="1">
      <c r="J294" s="69"/>
    </row>
    <row r="295" ht="14.25" customHeight="1">
      <c r="J295" s="69"/>
    </row>
    <row r="296" ht="14.25" customHeight="1">
      <c r="J296" s="69"/>
    </row>
    <row r="297" ht="14.25" customHeight="1">
      <c r="J297" s="69"/>
    </row>
    <row r="298" ht="14.25" customHeight="1">
      <c r="J298" s="69"/>
    </row>
    <row r="299" ht="14.25" customHeight="1">
      <c r="J299" s="69"/>
    </row>
    <row r="300" ht="14.25" customHeight="1">
      <c r="J300" s="69"/>
    </row>
    <row r="301" ht="14.25" customHeight="1">
      <c r="J301" s="69"/>
    </row>
    <row r="302" ht="14.25" customHeight="1">
      <c r="J302" s="69"/>
    </row>
    <row r="303" ht="14.25" customHeight="1">
      <c r="J303" s="69"/>
    </row>
    <row r="304" ht="14.25" customHeight="1">
      <c r="J304" s="69"/>
    </row>
    <row r="305" ht="14.25" customHeight="1">
      <c r="J305" s="69"/>
    </row>
    <row r="306" ht="14.25" customHeight="1">
      <c r="J306" s="69"/>
    </row>
    <row r="307" ht="14.25" customHeight="1">
      <c r="J307" s="69"/>
    </row>
    <row r="308" ht="14.25" customHeight="1">
      <c r="J308" s="69"/>
    </row>
    <row r="309" ht="14.25" customHeight="1">
      <c r="J309" s="69"/>
    </row>
    <row r="310" ht="14.25" customHeight="1">
      <c r="J310" s="69"/>
    </row>
    <row r="311" ht="14.25" customHeight="1">
      <c r="J311" s="69"/>
    </row>
    <row r="312" ht="14.25" customHeight="1">
      <c r="J312" s="69"/>
    </row>
    <row r="313" ht="14.25" customHeight="1">
      <c r="J313" s="69"/>
    </row>
    <row r="314" ht="14.25" customHeight="1">
      <c r="J314" s="69"/>
    </row>
    <row r="315" ht="14.25" customHeight="1">
      <c r="J315" s="69"/>
    </row>
    <row r="316" ht="14.25" customHeight="1">
      <c r="J316" s="69"/>
    </row>
    <row r="317" ht="14.25" customHeight="1">
      <c r="J317" s="69"/>
    </row>
    <row r="318" ht="14.25" customHeight="1">
      <c r="J318" s="69"/>
    </row>
    <row r="319" ht="14.25" customHeight="1">
      <c r="J319" s="69"/>
    </row>
    <row r="320" ht="14.25" customHeight="1">
      <c r="J320" s="69"/>
    </row>
    <row r="321" ht="14.25" customHeight="1">
      <c r="J321" s="69"/>
    </row>
    <row r="322" ht="14.25" customHeight="1">
      <c r="J322" s="69"/>
    </row>
    <row r="323" ht="14.25" customHeight="1">
      <c r="J323" s="69"/>
    </row>
    <row r="324" ht="14.25" customHeight="1">
      <c r="J324" s="69"/>
    </row>
    <row r="325" ht="14.25" customHeight="1">
      <c r="J325" s="69"/>
    </row>
    <row r="326" ht="14.25" customHeight="1">
      <c r="J326" s="69"/>
    </row>
    <row r="327" ht="14.25" customHeight="1">
      <c r="J327" s="69"/>
    </row>
    <row r="328" ht="14.25" customHeight="1">
      <c r="J328" s="69"/>
    </row>
    <row r="329" ht="14.25" customHeight="1">
      <c r="J329" s="69"/>
    </row>
    <row r="330" ht="14.25" customHeight="1">
      <c r="J330" s="69"/>
    </row>
    <row r="331" ht="14.25" customHeight="1">
      <c r="J331" s="69"/>
    </row>
    <row r="332" ht="14.25" customHeight="1">
      <c r="J332" s="69"/>
    </row>
    <row r="333" ht="14.25" customHeight="1">
      <c r="J333" s="69"/>
    </row>
    <row r="334" ht="14.25" customHeight="1">
      <c r="J334" s="69"/>
    </row>
    <row r="335" ht="14.25" customHeight="1">
      <c r="J335" s="69"/>
    </row>
    <row r="336" ht="14.25" customHeight="1">
      <c r="J336" s="69"/>
    </row>
    <row r="337" ht="14.25" customHeight="1">
      <c r="J337" s="69"/>
    </row>
    <row r="338" ht="14.25" customHeight="1">
      <c r="J338" s="69"/>
    </row>
    <row r="339" ht="14.25" customHeight="1">
      <c r="J339" s="69"/>
    </row>
    <row r="340" ht="14.25" customHeight="1">
      <c r="J340" s="69"/>
    </row>
    <row r="341" ht="14.25" customHeight="1">
      <c r="J341" s="69"/>
    </row>
    <row r="342" ht="14.25" customHeight="1">
      <c r="J342" s="69"/>
    </row>
    <row r="343" ht="14.25" customHeight="1">
      <c r="J343" s="69"/>
    </row>
    <row r="344" ht="14.25" customHeight="1">
      <c r="J344" s="69"/>
    </row>
    <row r="345" ht="14.25" customHeight="1">
      <c r="J345" s="69"/>
    </row>
    <row r="346" ht="14.25" customHeight="1">
      <c r="J346" s="69"/>
    </row>
    <row r="347" ht="14.25" customHeight="1">
      <c r="J347" s="69"/>
    </row>
    <row r="348" ht="14.25" customHeight="1">
      <c r="J348" s="69"/>
    </row>
    <row r="349" ht="14.25" customHeight="1">
      <c r="J349" s="69"/>
    </row>
    <row r="350" ht="14.25" customHeight="1">
      <c r="J350" s="69"/>
    </row>
    <row r="351" ht="14.25" customHeight="1">
      <c r="J351" s="69"/>
    </row>
    <row r="352" ht="14.25" customHeight="1">
      <c r="J352" s="69"/>
    </row>
    <row r="353" ht="14.25" customHeight="1">
      <c r="J353" s="69"/>
    </row>
    <row r="354" ht="14.25" customHeight="1">
      <c r="J354" s="69"/>
    </row>
    <row r="355" ht="14.25" customHeight="1">
      <c r="J355" s="69"/>
    </row>
    <row r="356" ht="14.25" customHeight="1">
      <c r="J356" s="69"/>
    </row>
    <row r="357" ht="14.25" customHeight="1">
      <c r="J357" s="69"/>
    </row>
    <row r="358" ht="14.25" customHeight="1">
      <c r="J358" s="69"/>
    </row>
    <row r="359" ht="14.25" customHeight="1">
      <c r="J359" s="69"/>
    </row>
    <row r="360" ht="14.25" customHeight="1">
      <c r="J360" s="69"/>
    </row>
    <row r="361" ht="14.25" customHeight="1">
      <c r="J361" s="69"/>
    </row>
    <row r="362" ht="14.25" customHeight="1">
      <c r="J362" s="69"/>
    </row>
    <row r="363" ht="14.25" customHeight="1">
      <c r="J363" s="69"/>
    </row>
    <row r="364" ht="14.25" customHeight="1">
      <c r="J364" s="69"/>
    </row>
    <row r="365" ht="14.25" customHeight="1">
      <c r="J365" s="69"/>
    </row>
    <row r="366" ht="14.25" customHeight="1">
      <c r="J366" s="69"/>
    </row>
    <row r="367" ht="14.25" customHeight="1">
      <c r="J367" s="69"/>
    </row>
    <row r="368" ht="14.25" customHeight="1">
      <c r="J368" s="69"/>
    </row>
    <row r="369" ht="14.25" customHeight="1">
      <c r="J369" s="69"/>
    </row>
    <row r="370" ht="14.25" customHeight="1">
      <c r="J370" s="69"/>
    </row>
    <row r="371" ht="14.25" customHeight="1">
      <c r="J371" s="69"/>
    </row>
    <row r="372" ht="14.25" customHeight="1">
      <c r="J372" s="69"/>
    </row>
    <row r="373" ht="14.25" customHeight="1">
      <c r="J373" s="69"/>
    </row>
    <row r="374" ht="14.25" customHeight="1">
      <c r="J374" s="69"/>
    </row>
    <row r="375" ht="14.25" customHeight="1">
      <c r="J375" s="69"/>
    </row>
    <row r="376" ht="14.25" customHeight="1">
      <c r="J376" s="69"/>
    </row>
    <row r="377" ht="14.25" customHeight="1">
      <c r="J377" s="69"/>
    </row>
    <row r="378" ht="14.25" customHeight="1">
      <c r="J378" s="69"/>
    </row>
    <row r="379" ht="14.25" customHeight="1">
      <c r="J379" s="69"/>
    </row>
    <row r="380" ht="14.25" customHeight="1">
      <c r="J380" s="69"/>
    </row>
    <row r="381" ht="14.25" customHeight="1">
      <c r="J381" s="69"/>
    </row>
    <row r="382" ht="14.25" customHeight="1">
      <c r="J382" s="69"/>
    </row>
    <row r="383" ht="14.25" customHeight="1">
      <c r="J383" s="69"/>
    </row>
    <row r="384" ht="14.25" customHeight="1">
      <c r="J384" s="69"/>
    </row>
    <row r="385" ht="14.25" customHeight="1">
      <c r="J385" s="69"/>
    </row>
    <row r="386" ht="14.25" customHeight="1">
      <c r="J386" s="69"/>
    </row>
    <row r="387" ht="14.25" customHeight="1">
      <c r="J387" s="69"/>
    </row>
    <row r="388" ht="14.25" customHeight="1">
      <c r="J388" s="69"/>
    </row>
    <row r="389" ht="14.25" customHeight="1">
      <c r="J389" s="69"/>
    </row>
    <row r="390" ht="14.25" customHeight="1">
      <c r="J390" s="69"/>
    </row>
    <row r="391" ht="14.25" customHeight="1">
      <c r="J391" s="69"/>
    </row>
    <row r="392" ht="14.25" customHeight="1">
      <c r="J392" s="69"/>
    </row>
    <row r="393" ht="14.25" customHeight="1">
      <c r="J393" s="69"/>
    </row>
    <row r="394" ht="14.25" customHeight="1">
      <c r="J394" s="69"/>
    </row>
    <row r="395" ht="14.25" customHeight="1">
      <c r="J395" s="69"/>
    </row>
    <row r="396" ht="14.25" customHeight="1">
      <c r="J396" s="69"/>
    </row>
    <row r="397" ht="14.25" customHeight="1">
      <c r="J397" s="69"/>
    </row>
    <row r="398" ht="14.25" customHeight="1">
      <c r="J398" s="69"/>
    </row>
    <row r="399" ht="14.25" customHeight="1">
      <c r="J399" s="69"/>
    </row>
    <row r="400" ht="14.25" customHeight="1">
      <c r="J400" s="69"/>
    </row>
    <row r="401" ht="14.25" customHeight="1">
      <c r="J401" s="69"/>
    </row>
    <row r="402" ht="14.25" customHeight="1">
      <c r="J402" s="69"/>
    </row>
    <row r="403" ht="14.25" customHeight="1">
      <c r="J403" s="69"/>
    </row>
    <row r="404" ht="14.25" customHeight="1">
      <c r="J404" s="69"/>
    </row>
    <row r="405" ht="14.25" customHeight="1">
      <c r="J405" s="69"/>
    </row>
    <row r="406" ht="14.25" customHeight="1">
      <c r="J406" s="69"/>
    </row>
    <row r="407" ht="14.25" customHeight="1">
      <c r="J407" s="69"/>
    </row>
    <row r="408" ht="14.25" customHeight="1">
      <c r="J408" s="69"/>
    </row>
    <row r="409" ht="14.25" customHeight="1">
      <c r="J409" s="69"/>
    </row>
    <row r="410" ht="14.25" customHeight="1">
      <c r="J410" s="69"/>
    </row>
    <row r="411" ht="14.25" customHeight="1">
      <c r="J411" s="69"/>
    </row>
    <row r="412" ht="14.25" customHeight="1">
      <c r="J412" s="69"/>
    </row>
    <row r="413" ht="14.25" customHeight="1">
      <c r="J413" s="69"/>
    </row>
    <row r="414" ht="14.25" customHeight="1">
      <c r="J414" s="69"/>
    </row>
    <row r="415" ht="14.25" customHeight="1">
      <c r="J415" s="69"/>
    </row>
    <row r="416" ht="14.25" customHeight="1">
      <c r="J416" s="69"/>
    </row>
    <row r="417" ht="14.25" customHeight="1">
      <c r="J417" s="69"/>
    </row>
    <row r="418" ht="14.25" customHeight="1">
      <c r="J418" s="69"/>
    </row>
    <row r="419" ht="14.25" customHeight="1">
      <c r="J419" s="69"/>
    </row>
    <row r="420" ht="14.25" customHeight="1">
      <c r="J420" s="69"/>
    </row>
    <row r="421" ht="14.25" customHeight="1">
      <c r="J421" s="69"/>
    </row>
    <row r="422" ht="14.25" customHeight="1">
      <c r="J422" s="69"/>
    </row>
    <row r="423" ht="14.25" customHeight="1">
      <c r="J423" s="69"/>
    </row>
    <row r="424" ht="14.25" customHeight="1">
      <c r="J424" s="69"/>
    </row>
    <row r="425" ht="14.25" customHeight="1">
      <c r="J425" s="69"/>
    </row>
    <row r="426" ht="14.25" customHeight="1">
      <c r="J426" s="69"/>
    </row>
    <row r="427" ht="14.25" customHeight="1">
      <c r="J427" s="69"/>
    </row>
    <row r="428" ht="14.25" customHeight="1">
      <c r="J428" s="69"/>
    </row>
    <row r="429" ht="14.25" customHeight="1">
      <c r="J429" s="69"/>
    </row>
    <row r="430" ht="14.25" customHeight="1">
      <c r="J430" s="69"/>
    </row>
    <row r="431" ht="14.25" customHeight="1">
      <c r="J431" s="69"/>
    </row>
    <row r="432" ht="14.25" customHeight="1">
      <c r="J432" s="69"/>
    </row>
    <row r="433" ht="14.25" customHeight="1">
      <c r="J433" s="69"/>
    </row>
    <row r="434" ht="14.25" customHeight="1">
      <c r="J434" s="69"/>
    </row>
    <row r="435" ht="14.25" customHeight="1">
      <c r="J435" s="69"/>
    </row>
    <row r="436" ht="14.25" customHeight="1">
      <c r="J436" s="69"/>
    </row>
    <row r="437" ht="14.25" customHeight="1">
      <c r="J437" s="69"/>
    </row>
    <row r="438" ht="14.25" customHeight="1">
      <c r="J438" s="69"/>
    </row>
    <row r="439" ht="14.25" customHeight="1">
      <c r="J439" s="69"/>
    </row>
    <row r="440" ht="14.25" customHeight="1">
      <c r="J440" s="69"/>
    </row>
    <row r="441" ht="14.25" customHeight="1">
      <c r="J441" s="69"/>
    </row>
    <row r="442" ht="14.25" customHeight="1">
      <c r="J442" s="69"/>
    </row>
    <row r="443" ht="14.25" customHeight="1">
      <c r="J443" s="69"/>
    </row>
    <row r="444" ht="14.25" customHeight="1">
      <c r="J444" s="69"/>
    </row>
    <row r="445" ht="14.25" customHeight="1">
      <c r="J445" s="69"/>
    </row>
    <row r="446" ht="14.25" customHeight="1">
      <c r="J446" s="69"/>
    </row>
    <row r="447" ht="14.25" customHeight="1">
      <c r="J447" s="69"/>
    </row>
    <row r="448" ht="14.25" customHeight="1">
      <c r="J448" s="69"/>
    </row>
    <row r="449" ht="14.25" customHeight="1">
      <c r="J449" s="69"/>
    </row>
    <row r="450" ht="14.25" customHeight="1">
      <c r="J450" s="69"/>
    </row>
    <row r="451" ht="14.25" customHeight="1">
      <c r="J451" s="69"/>
    </row>
    <row r="452" ht="14.25" customHeight="1">
      <c r="J452" s="69"/>
    </row>
    <row r="453" ht="14.25" customHeight="1">
      <c r="J453" s="69"/>
    </row>
    <row r="454" ht="14.25" customHeight="1">
      <c r="J454" s="69"/>
    </row>
    <row r="455" ht="14.25" customHeight="1">
      <c r="J455" s="69"/>
    </row>
    <row r="456" ht="14.25" customHeight="1">
      <c r="J456" s="69"/>
    </row>
    <row r="457" ht="14.25" customHeight="1">
      <c r="J457" s="69"/>
    </row>
    <row r="458" ht="14.25" customHeight="1">
      <c r="J458" s="69"/>
    </row>
    <row r="459" ht="14.25" customHeight="1">
      <c r="J459" s="69"/>
    </row>
    <row r="460" ht="14.25" customHeight="1">
      <c r="J460" s="69"/>
    </row>
    <row r="461" ht="14.25" customHeight="1">
      <c r="J461" s="69"/>
    </row>
    <row r="462" ht="14.25" customHeight="1">
      <c r="J462" s="69"/>
    </row>
    <row r="463" ht="14.25" customHeight="1">
      <c r="J463" s="69"/>
    </row>
    <row r="464" ht="14.25" customHeight="1">
      <c r="J464" s="69"/>
    </row>
    <row r="465" ht="14.25" customHeight="1">
      <c r="J465" s="69"/>
    </row>
    <row r="466" ht="14.25" customHeight="1">
      <c r="J466" s="69"/>
    </row>
    <row r="467" ht="14.25" customHeight="1">
      <c r="J467" s="69"/>
    </row>
    <row r="468" ht="14.25" customHeight="1">
      <c r="J468" s="69"/>
    </row>
    <row r="469" ht="14.25" customHeight="1">
      <c r="J469" s="69"/>
    </row>
    <row r="470" ht="14.25" customHeight="1">
      <c r="J470" s="69"/>
    </row>
    <row r="471" ht="14.25" customHeight="1">
      <c r="J471" s="69"/>
    </row>
    <row r="472" ht="14.25" customHeight="1">
      <c r="J472" s="69"/>
    </row>
    <row r="473" ht="14.25" customHeight="1">
      <c r="J473" s="69"/>
    </row>
    <row r="474" ht="14.25" customHeight="1">
      <c r="J474" s="69"/>
    </row>
    <row r="475" ht="14.25" customHeight="1">
      <c r="J475" s="69"/>
    </row>
    <row r="476" ht="14.25" customHeight="1">
      <c r="J476" s="69"/>
    </row>
    <row r="477" ht="14.25" customHeight="1">
      <c r="J477" s="69"/>
    </row>
    <row r="478" ht="14.25" customHeight="1">
      <c r="J478" s="69"/>
    </row>
    <row r="479" ht="14.25" customHeight="1">
      <c r="J479" s="69"/>
    </row>
    <row r="480" ht="14.25" customHeight="1">
      <c r="J480" s="69"/>
    </row>
    <row r="481" ht="14.25" customHeight="1">
      <c r="J481" s="69"/>
    </row>
    <row r="482" ht="14.25" customHeight="1">
      <c r="J482" s="69"/>
    </row>
    <row r="483" ht="14.25" customHeight="1">
      <c r="J483" s="69"/>
    </row>
    <row r="484" ht="14.25" customHeight="1">
      <c r="J484" s="69"/>
    </row>
    <row r="485" ht="14.25" customHeight="1">
      <c r="J485" s="69"/>
    </row>
    <row r="486" ht="14.25" customHeight="1">
      <c r="J486" s="69"/>
    </row>
    <row r="487" ht="14.25" customHeight="1">
      <c r="J487" s="69"/>
    </row>
    <row r="488" ht="14.25" customHeight="1">
      <c r="J488" s="69"/>
    </row>
    <row r="489" ht="14.25" customHeight="1">
      <c r="J489" s="69"/>
    </row>
    <row r="490" ht="14.25" customHeight="1">
      <c r="J490" s="69"/>
    </row>
    <row r="491" ht="14.25" customHeight="1">
      <c r="J491" s="69"/>
    </row>
    <row r="492" ht="14.25" customHeight="1">
      <c r="J492" s="69"/>
    </row>
    <row r="493" ht="14.25" customHeight="1">
      <c r="J493" s="69"/>
    </row>
    <row r="494" ht="14.25" customHeight="1">
      <c r="J494" s="69"/>
    </row>
    <row r="495" ht="14.25" customHeight="1">
      <c r="J495" s="69"/>
    </row>
    <row r="496" ht="14.25" customHeight="1">
      <c r="J496" s="69"/>
    </row>
    <row r="497" ht="14.25" customHeight="1">
      <c r="J497" s="69"/>
    </row>
    <row r="498" ht="14.25" customHeight="1">
      <c r="J498" s="69"/>
    </row>
    <row r="499" ht="14.25" customHeight="1">
      <c r="J499" s="69"/>
    </row>
    <row r="500" ht="14.25" customHeight="1">
      <c r="J500" s="69"/>
    </row>
    <row r="501" ht="14.25" customHeight="1">
      <c r="J501" s="69"/>
    </row>
    <row r="502" ht="14.25" customHeight="1">
      <c r="J502" s="69"/>
    </row>
    <row r="503" ht="14.25" customHeight="1">
      <c r="J503" s="69"/>
    </row>
    <row r="504" ht="14.25" customHeight="1">
      <c r="J504" s="69"/>
    </row>
    <row r="505" ht="14.25" customHeight="1">
      <c r="J505" s="69"/>
    </row>
    <row r="506" ht="14.25" customHeight="1">
      <c r="J506" s="69"/>
    </row>
    <row r="507" ht="14.25" customHeight="1">
      <c r="J507" s="69"/>
    </row>
    <row r="508" ht="14.25" customHeight="1">
      <c r="J508" s="69"/>
    </row>
    <row r="509" ht="14.25" customHeight="1">
      <c r="J509" s="69"/>
    </row>
    <row r="510" ht="14.25" customHeight="1">
      <c r="J510" s="69"/>
    </row>
    <row r="511" ht="14.25" customHeight="1">
      <c r="J511" s="69"/>
    </row>
    <row r="512" ht="14.25" customHeight="1">
      <c r="J512" s="69"/>
    </row>
    <row r="513" ht="14.25" customHeight="1">
      <c r="J513" s="69"/>
    </row>
    <row r="514" ht="14.25" customHeight="1">
      <c r="J514" s="69"/>
    </row>
    <row r="515" ht="14.25" customHeight="1">
      <c r="J515" s="69"/>
    </row>
    <row r="516" ht="14.25" customHeight="1">
      <c r="J516" s="69"/>
    </row>
    <row r="517" ht="14.25" customHeight="1">
      <c r="J517" s="69"/>
    </row>
    <row r="518" ht="14.25" customHeight="1">
      <c r="J518" s="69"/>
    </row>
    <row r="519" ht="14.25" customHeight="1">
      <c r="J519" s="69"/>
    </row>
    <row r="520" ht="14.25" customHeight="1">
      <c r="J520" s="69"/>
    </row>
    <row r="521" ht="14.25" customHeight="1">
      <c r="J521" s="69"/>
    </row>
    <row r="522" ht="14.25" customHeight="1">
      <c r="J522" s="69"/>
    </row>
    <row r="523" ht="14.25" customHeight="1">
      <c r="J523" s="69"/>
    </row>
    <row r="524" ht="14.25" customHeight="1">
      <c r="J524" s="69"/>
    </row>
    <row r="525" ht="14.25" customHeight="1">
      <c r="J525" s="69"/>
    </row>
    <row r="526" ht="14.25" customHeight="1">
      <c r="J526" s="69"/>
    </row>
    <row r="527" ht="14.25" customHeight="1">
      <c r="J527" s="69"/>
    </row>
    <row r="528" ht="14.25" customHeight="1">
      <c r="J528" s="69"/>
    </row>
    <row r="529" ht="14.25" customHeight="1">
      <c r="J529" s="69"/>
    </row>
    <row r="530" ht="14.25" customHeight="1">
      <c r="J530" s="69"/>
    </row>
    <row r="531" ht="14.25" customHeight="1">
      <c r="J531" s="69"/>
    </row>
    <row r="532" ht="14.25" customHeight="1">
      <c r="J532" s="69"/>
    </row>
    <row r="533" ht="14.25" customHeight="1">
      <c r="J533" s="69"/>
    </row>
    <row r="534" ht="14.25" customHeight="1">
      <c r="J534" s="69"/>
    </row>
    <row r="535" ht="14.25" customHeight="1">
      <c r="J535" s="69"/>
    </row>
    <row r="536" ht="14.25" customHeight="1">
      <c r="J536" s="69"/>
    </row>
    <row r="537" ht="14.25" customHeight="1">
      <c r="J537" s="69"/>
    </row>
    <row r="538" ht="14.25" customHeight="1">
      <c r="J538" s="69"/>
    </row>
    <row r="539" ht="14.25" customHeight="1">
      <c r="J539" s="69"/>
    </row>
    <row r="540" ht="14.25" customHeight="1">
      <c r="J540" s="69"/>
    </row>
    <row r="541" ht="14.25" customHeight="1">
      <c r="J541" s="69"/>
    </row>
    <row r="542" ht="14.25" customHeight="1">
      <c r="J542" s="69"/>
    </row>
    <row r="543" ht="14.25" customHeight="1">
      <c r="J543" s="69"/>
    </row>
    <row r="544" ht="14.25" customHeight="1">
      <c r="J544" s="69"/>
    </row>
    <row r="545" ht="14.25" customHeight="1">
      <c r="J545" s="69"/>
    </row>
    <row r="546" ht="14.25" customHeight="1">
      <c r="J546" s="69"/>
    </row>
    <row r="547" ht="14.25" customHeight="1">
      <c r="J547" s="69"/>
    </row>
    <row r="548" ht="14.25" customHeight="1">
      <c r="J548" s="69"/>
    </row>
    <row r="549" ht="14.25" customHeight="1">
      <c r="J549" s="69"/>
    </row>
    <row r="550" ht="14.25" customHeight="1">
      <c r="J550" s="69"/>
    </row>
    <row r="551" ht="14.25" customHeight="1">
      <c r="J551" s="69"/>
    </row>
    <row r="552" ht="14.25" customHeight="1">
      <c r="J552" s="69"/>
    </row>
    <row r="553" ht="14.25" customHeight="1">
      <c r="J553" s="69"/>
    </row>
    <row r="554" ht="14.25" customHeight="1">
      <c r="J554" s="69"/>
    </row>
    <row r="555" ht="14.25" customHeight="1">
      <c r="J555" s="69"/>
    </row>
    <row r="556" ht="14.25" customHeight="1">
      <c r="J556" s="69"/>
    </row>
    <row r="557" ht="14.25" customHeight="1">
      <c r="J557" s="69"/>
    </row>
    <row r="558" ht="14.25" customHeight="1">
      <c r="J558" s="69"/>
    </row>
    <row r="559" ht="14.25" customHeight="1">
      <c r="J559" s="69"/>
    </row>
    <row r="560" ht="14.25" customHeight="1">
      <c r="J560" s="69"/>
    </row>
    <row r="561" ht="14.25" customHeight="1">
      <c r="J561" s="69"/>
    </row>
    <row r="562" ht="14.25" customHeight="1">
      <c r="J562" s="69"/>
    </row>
    <row r="563" ht="14.25" customHeight="1">
      <c r="J563" s="69"/>
    </row>
    <row r="564" ht="14.25" customHeight="1">
      <c r="J564" s="69"/>
    </row>
    <row r="565" ht="14.25" customHeight="1">
      <c r="J565" s="69"/>
    </row>
    <row r="566" ht="14.25" customHeight="1">
      <c r="J566" s="69"/>
    </row>
    <row r="567" ht="14.25" customHeight="1">
      <c r="J567" s="69"/>
    </row>
    <row r="568" ht="14.25" customHeight="1">
      <c r="J568" s="69"/>
    </row>
    <row r="569" ht="14.25" customHeight="1">
      <c r="J569" s="69"/>
    </row>
    <row r="570" ht="14.25" customHeight="1">
      <c r="J570" s="69"/>
    </row>
    <row r="571" ht="14.25" customHeight="1">
      <c r="J571" s="69"/>
    </row>
    <row r="572" ht="14.25" customHeight="1">
      <c r="J572" s="69"/>
    </row>
    <row r="573" ht="14.25" customHeight="1">
      <c r="J573" s="69"/>
    </row>
    <row r="574" ht="14.25" customHeight="1">
      <c r="J574" s="69"/>
    </row>
    <row r="575" ht="14.25" customHeight="1">
      <c r="J575" s="69"/>
    </row>
    <row r="576" ht="14.25" customHeight="1">
      <c r="J576" s="69"/>
    </row>
    <row r="577" ht="14.25" customHeight="1">
      <c r="J577" s="69"/>
    </row>
    <row r="578" ht="14.25" customHeight="1">
      <c r="J578" s="69"/>
    </row>
    <row r="579" ht="14.25" customHeight="1">
      <c r="J579" s="69"/>
    </row>
    <row r="580" ht="14.25" customHeight="1">
      <c r="J580" s="69"/>
    </row>
    <row r="581" ht="14.25" customHeight="1">
      <c r="J581" s="69"/>
    </row>
    <row r="582" ht="14.25" customHeight="1">
      <c r="J582" s="69"/>
    </row>
    <row r="583" ht="14.25" customHeight="1">
      <c r="J583" s="69"/>
    </row>
    <row r="584" ht="14.25" customHeight="1">
      <c r="J584" s="69"/>
    </row>
    <row r="585" ht="14.25" customHeight="1">
      <c r="J585" s="69"/>
    </row>
    <row r="586" ht="14.25" customHeight="1">
      <c r="J586" s="69"/>
    </row>
    <row r="587" ht="14.25" customHeight="1">
      <c r="J587" s="69"/>
    </row>
    <row r="588" ht="14.25" customHeight="1">
      <c r="J588" s="69"/>
    </row>
    <row r="589" ht="14.25" customHeight="1">
      <c r="J589" s="69"/>
    </row>
    <row r="590" ht="14.25" customHeight="1">
      <c r="J590" s="69"/>
    </row>
    <row r="591" ht="14.25" customHeight="1">
      <c r="J591" s="69"/>
    </row>
    <row r="592" ht="14.25" customHeight="1">
      <c r="J592" s="69"/>
    </row>
    <row r="593" ht="14.25" customHeight="1">
      <c r="J593" s="69"/>
    </row>
    <row r="594" ht="14.25" customHeight="1">
      <c r="J594" s="69"/>
    </row>
    <row r="595" ht="14.25" customHeight="1">
      <c r="J595" s="69"/>
    </row>
    <row r="596" ht="14.25" customHeight="1">
      <c r="J596" s="69"/>
    </row>
    <row r="597" ht="14.25" customHeight="1">
      <c r="J597" s="69"/>
    </row>
    <row r="598" ht="14.25" customHeight="1">
      <c r="J598" s="69"/>
    </row>
    <row r="599" ht="14.25" customHeight="1">
      <c r="J599" s="69"/>
    </row>
    <row r="600" ht="14.25" customHeight="1">
      <c r="J600" s="69"/>
    </row>
    <row r="601" ht="14.25" customHeight="1">
      <c r="J601" s="69"/>
    </row>
    <row r="602" ht="14.25" customHeight="1">
      <c r="J602" s="69"/>
    </row>
    <row r="603" ht="14.25" customHeight="1">
      <c r="J603" s="69"/>
    </row>
    <row r="604" ht="14.25" customHeight="1">
      <c r="J604" s="69"/>
    </row>
    <row r="605" ht="14.25" customHeight="1">
      <c r="J605" s="69"/>
    </row>
    <row r="606" ht="14.25" customHeight="1">
      <c r="J606" s="69"/>
    </row>
    <row r="607" ht="14.25" customHeight="1">
      <c r="J607" s="69"/>
    </row>
    <row r="608" ht="14.25" customHeight="1">
      <c r="J608" s="69"/>
    </row>
    <row r="609" ht="14.25" customHeight="1">
      <c r="J609" s="69"/>
    </row>
    <row r="610" ht="14.25" customHeight="1">
      <c r="J610" s="69"/>
    </row>
    <row r="611" ht="14.25" customHeight="1">
      <c r="J611" s="69"/>
    </row>
    <row r="612" ht="14.25" customHeight="1">
      <c r="J612" s="69"/>
    </row>
    <row r="613" ht="14.25" customHeight="1">
      <c r="J613" s="69"/>
    </row>
    <row r="614" ht="14.25" customHeight="1">
      <c r="J614" s="69"/>
    </row>
    <row r="615" ht="14.25" customHeight="1">
      <c r="J615" s="69"/>
    </row>
    <row r="616" ht="14.25" customHeight="1">
      <c r="J616" s="69"/>
    </row>
    <row r="617" ht="14.25" customHeight="1">
      <c r="J617" s="69"/>
    </row>
    <row r="618" ht="14.25" customHeight="1">
      <c r="J618" s="69"/>
    </row>
    <row r="619" ht="14.25" customHeight="1">
      <c r="J619" s="69"/>
    </row>
    <row r="620" ht="14.25" customHeight="1">
      <c r="J620" s="69"/>
    </row>
    <row r="621" ht="14.25" customHeight="1">
      <c r="J621" s="69"/>
    </row>
    <row r="622" ht="14.25" customHeight="1">
      <c r="J622" s="69"/>
    </row>
    <row r="623" ht="14.25" customHeight="1">
      <c r="J623" s="69"/>
    </row>
    <row r="624" ht="14.25" customHeight="1">
      <c r="J624" s="69"/>
    </row>
    <row r="625" ht="14.25" customHeight="1">
      <c r="J625" s="69"/>
    </row>
    <row r="626" ht="14.25" customHeight="1">
      <c r="J626" s="69"/>
    </row>
    <row r="627" ht="14.25" customHeight="1">
      <c r="J627" s="69"/>
    </row>
    <row r="628" ht="14.25" customHeight="1">
      <c r="J628" s="69"/>
    </row>
    <row r="629" ht="14.25" customHeight="1">
      <c r="J629" s="69"/>
    </row>
    <row r="630" ht="14.25" customHeight="1">
      <c r="J630" s="69"/>
    </row>
    <row r="631" ht="14.25" customHeight="1">
      <c r="J631" s="69"/>
    </row>
    <row r="632" ht="14.25" customHeight="1">
      <c r="J632" s="69"/>
    </row>
    <row r="633" ht="14.25" customHeight="1">
      <c r="J633" s="69"/>
    </row>
    <row r="634" ht="14.25" customHeight="1">
      <c r="J634" s="69"/>
    </row>
    <row r="635" ht="14.25" customHeight="1">
      <c r="J635" s="69"/>
    </row>
    <row r="636" ht="14.25" customHeight="1">
      <c r="J636" s="69"/>
    </row>
    <row r="637" ht="14.25" customHeight="1">
      <c r="J637" s="69"/>
    </row>
    <row r="638" ht="14.25" customHeight="1">
      <c r="J638" s="69"/>
    </row>
    <row r="639" ht="14.25" customHeight="1">
      <c r="J639" s="69"/>
    </row>
    <row r="640" ht="14.25" customHeight="1">
      <c r="J640" s="69"/>
    </row>
    <row r="641" ht="14.25" customHeight="1">
      <c r="J641" s="69"/>
    </row>
    <row r="642" ht="14.25" customHeight="1">
      <c r="J642" s="69"/>
    </row>
    <row r="643" ht="14.25" customHeight="1">
      <c r="J643" s="69"/>
    </row>
    <row r="644" ht="14.25" customHeight="1">
      <c r="J644" s="69"/>
    </row>
    <row r="645" ht="14.25" customHeight="1">
      <c r="J645" s="69"/>
    </row>
    <row r="646" ht="14.25" customHeight="1">
      <c r="J646" s="69"/>
    </row>
    <row r="647" ht="14.25" customHeight="1">
      <c r="J647" s="69"/>
    </row>
    <row r="648" ht="14.25" customHeight="1">
      <c r="J648" s="69"/>
    </row>
    <row r="649" ht="14.25" customHeight="1">
      <c r="J649" s="69"/>
    </row>
    <row r="650" ht="14.25" customHeight="1">
      <c r="J650" s="69"/>
    </row>
    <row r="651" ht="14.25" customHeight="1">
      <c r="J651" s="69"/>
    </row>
    <row r="652" ht="14.25" customHeight="1">
      <c r="J652" s="69"/>
    </row>
    <row r="653" ht="14.25" customHeight="1">
      <c r="J653" s="69"/>
    </row>
    <row r="654" ht="14.25" customHeight="1">
      <c r="J654" s="69"/>
    </row>
    <row r="655" ht="14.25" customHeight="1">
      <c r="J655" s="69"/>
    </row>
    <row r="656" ht="14.25" customHeight="1">
      <c r="J656" s="69"/>
    </row>
    <row r="657" ht="14.25" customHeight="1">
      <c r="J657" s="69"/>
    </row>
    <row r="658" ht="14.25" customHeight="1">
      <c r="J658" s="69"/>
    </row>
    <row r="659" ht="14.25" customHeight="1">
      <c r="J659" s="69"/>
    </row>
    <row r="660" ht="14.25" customHeight="1">
      <c r="J660" s="69"/>
    </row>
    <row r="661" ht="14.25" customHeight="1">
      <c r="J661" s="69"/>
    </row>
    <row r="662" ht="14.25" customHeight="1">
      <c r="J662" s="69"/>
    </row>
    <row r="663" ht="14.25" customHeight="1">
      <c r="J663" s="69"/>
    </row>
    <row r="664" ht="14.25" customHeight="1">
      <c r="J664" s="69"/>
    </row>
    <row r="665" ht="14.25" customHeight="1">
      <c r="J665" s="69"/>
    </row>
    <row r="666" ht="14.25" customHeight="1">
      <c r="J666" s="69"/>
    </row>
    <row r="667" ht="14.25" customHeight="1">
      <c r="J667" s="69"/>
    </row>
    <row r="668" ht="14.25" customHeight="1">
      <c r="J668" s="69"/>
    </row>
    <row r="669" ht="14.25" customHeight="1">
      <c r="J669" s="69"/>
    </row>
    <row r="670" ht="14.25" customHeight="1">
      <c r="J670" s="69"/>
    </row>
    <row r="671" ht="14.25" customHeight="1">
      <c r="J671" s="69"/>
    </row>
    <row r="672" ht="14.25" customHeight="1">
      <c r="J672" s="69"/>
    </row>
    <row r="673" ht="14.25" customHeight="1">
      <c r="J673" s="69"/>
    </row>
    <row r="674" ht="14.25" customHeight="1">
      <c r="J674" s="69"/>
    </row>
    <row r="675" ht="14.25" customHeight="1">
      <c r="J675" s="69"/>
    </row>
    <row r="676" ht="14.25" customHeight="1">
      <c r="J676" s="69"/>
    </row>
    <row r="677" ht="14.25" customHeight="1">
      <c r="J677" s="69"/>
    </row>
    <row r="678" ht="14.25" customHeight="1">
      <c r="J678" s="69"/>
    </row>
    <row r="679" ht="14.25" customHeight="1">
      <c r="J679" s="69"/>
    </row>
    <row r="680" ht="14.25" customHeight="1">
      <c r="J680" s="69"/>
    </row>
    <row r="681" ht="14.25" customHeight="1">
      <c r="J681" s="69"/>
    </row>
    <row r="682" ht="14.25" customHeight="1">
      <c r="J682" s="69"/>
    </row>
    <row r="683" ht="14.25" customHeight="1">
      <c r="J683" s="69"/>
    </row>
    <row r="684" ht="14.25" customHeight="1">
      <c r="J684" s="69"/>
    </row>
    <row r="685" ht="14.25" customHeight="1">
      <c r="J685" s="69"/>
    </row>
    <row r="686" ht="14.25" customHeight="1">
      <c r="J686" s="69"/>
    </row>
    <row r="687" ht="14.25" customHeight="1">
      <c r="J687" s="69"/>
    </row>
    <row r="688" ht="14.25" customHeight="1">
      <c r="J688" s="69"/>
    </row>
    <row r="689" ht="14.25" customHeight="1">
      <c r="J689" s="69"/>
    </row>
    <row r="690" ht="14.25" customHeight="1">
      <c r="J690" s="69"/>
    </row>
    <row r="691" ht="14.25" customHeight="1">
      <c r="J691" s="69"/>
    </row>
    <row r="692" ht="14.25" customHeight="1">
      <c r="J692" s="69"/>
    </row>
    <row r="693" ht="14.25" customHeight="1">
      <c r="J693" s="69"/>
    </row>
    <row r="694" ht="14.25" customHeight="1">
      <c r="J694" s="69"/>
    </row>
    <row r="695" ht="14.25" customHeight="1">
      <c r="J695" s="69"/>
    </row>
    <row r="696" ht="14.25" customHeight="1">
      <c r="J696" s="69"/>
    </row>
    <row r="697" ht="14.25" customHeight="1">
      <c r="J697" s="69"/>
    </row>
    <row r="698" ht="14.25" customHeight="1">
      <c r="J698" s="69"/>
    </row>
    <row r="699" ht="14.25" customHeight="1">
      <c r="J699" s="69"/>
    </row>
    <row r="700" ht="14.25" customHeight="1">
      <c r="J700" s="69"/>
    </row>
    <row r="701" ht="14.25" customHeight="1">
      <c r="J701" s="69"/>
    </row>
    <row r="702" ht="14.25" customHeight="1">
      <c r="J702" s="69"/>
    </row>
    <row r="703" ht="14.25" customHeight="1">
      <c r="J703" s="69"/>
    </row>
    <row r="704" ht="14.25" customHeight="1">
      <c r="J704" s="69"/>
    </row>
    <row r="705" ht="14.25" customHeight="1">
      <c r="J705" s="69"/>
    </row>
    <row r="706" ht="14.25" customHeight="1">
      <c r="J706" s="69"/>
    </row>
    <row r="707" ht="14.25" customHeight="1">
      <c r="J707" s="69"/>
    </row>
    <row r="708" ht="14.25" customHeight="1">
      <c r="J708" s="69"/>
    </row>
    <row r="709" ht="14.25" customHeight="1">
      <c r="J709" s="69"/>
    </row>
    <row r="710" ht="14.25" customHeight="1">
      <c r="J710" s="69"/>
    </row>
    <row r="711" ht="14.25" customHeight="1">
      <c r="J711" s="69"/>
    </row>
    <row r="712" ht="14.25" customHeight="1">
      <c r="J712" s="69"/>
    </row>
    <row r="713" ht="14.25" customHeight="1">
      <c r="J713" s="69"/>
    </row>
    <row r="714" ht="14.25" customHeight="1">
      <c r="J714" s="69"/>
    </row>
    <row r="715" ht="14.25" customHeight="1">
      <c r="J715" s="69"/>
    </row>
    <row r="716" ht="14.25" customHeight="1">
      <c r="J716" s="69"/>
    </row>
    <row r="717" ht="14.25" customHeight="1">
      <c r="J717" s="69"/>
    </row>
    <row r="718" ht="14.25" customHeight="1">
      <c r="J718" s="69"/>
    </row>
    <row r="719" ht="14.25" customHeight="1">
      <c r="J719" s="69"/>
    </row>
    <row r="720" ht="14.25" customHeight="1">
      <c r="J720" s="69"/>
    </row>
    <row r="721" ht="14.25" customHeight="1">
      <c r="J721" s="69"/>
    </row>
    <row r="722" ht="14.25" customHeight="1">
      <c r="J722" s="69"/>
    </row>
    <row r="723" ht="14.25" customHeight="1">
      <c r="J723" s="69"/>
    </row>
    <row r="724" ht="14.25" customHeight="1">
      <c r="J724" s="69"/>
    </row>
    <row r="725" ht="14.25" customHeight="1">
      <c r="J725" s="69"/>
    </row>
    <row r="726" ht="14.25" customHeight="1">
      <c r="J726" s="69"/>
    </row>
    <row r="727" ht="14.25" customHeight="1">
      <c r="J727" s="69"/>
    </row>
    <row r="728" ht="14.25" customHeight="1">
      <c r="J728" s="69"/>
    </row>
    <row r="729" ht="14.25" customHeight="1">
      <c r="J729" s="69"/>
    </row>
    <row r="730" ht="14.25" customHeight="1">
      <c r="J730" s="69"/>
    </row>
    <row r="731" ht="14.25" customHeight="1">
      <c r="J731" s="69"/>
    </row>
    <row r="732" ht="14.25" customHeight="1">
      <c r="J732" s="69"/>
    </row>
    <row r="733" ht="14.25" customHeight="1">
      <c r="J733" s="69"/>
    </row>
    <row r="734" ht="14.25" customHeight="1">
      <c r="J734" s="69"/>
    </row>
    <row r="735" ht="14.25" customHeight="1">
      <c r="J735" s="69"/>
    </row>
    <row r="736" ht="14.25" customHeight="1">
      <c r="J736" s="69"/>
    </row>
    <row r="737" ht="14.25" customHeight="1">
      <c r="J737" s="69"/>
    </row>
    <row r="738" ht="14.25" customHeight="1">
      <c r="J738" s="69"/>
    </row>
    <row r="739" ht="14.25" customHeight="1">
      <c r="J739" s="69"/>
    </row>
    <row r="740" ht="14.25" customHeight="1">
      <c r="J740" s="69"/>
    </row>
    <row r="741" ht="14.25" customHeight="1">
      <c r="J741" s="69"/>
    </row>
    <row r="742" ht="14.25" customHeight="1">
      <c r="J742" s="69"/>
    </row>
    <row r="743" ht="14.25" customHeight="1">
      <c r="J743" s="69"/>
    </row>
    <row r="744" ht="14.25" customHeight="1">
      <c r="J744" s="69"/>
    </row>
    <row r="745" ht="14.25" customHeight="1">
      <c r="J745" s="69"/>
    </row>
    <row r="746" ht="14.25" customHeight="1">
      <c r="J746" s="69"/>
    </row>
    <row r="747" ht="14.25" customHeight="1">
      <c r="J747" s="69"/>
    </row>
    <row r="748" ht="14.25" customHeight="1">
      <c r="J748" s="69"/>
    </row>
    <row r="749" ht="14.25" customHeight="1">
      <c r="J749" s="69"/>
    </row>
    <row r="750" ht="14.25" customHeight="1">
      <c r="J750" s="69"/>
    </row>
    <row r="751" ht="14.25" customHeight="1">
      <c r="J751" s="69"/>
    </row>
    <row r="752" ht="14.25" customHeight="1">
      <c r="J752" s="69"/>
    </row>
    <row r="753" ht="14.25" customHeight="1">
      <c r="J753" s="69"/>
    </row>
    <row r="754" ht="14.25" customHeight="1">
      <c r="J754" s="69"/>
    </row>
    <row r="755" ht="14.25" customHeight="1">
      <c r="J755" s="69"/>
    </row>
    <row r="756" ht="14.25" customHeight="1">
      <c r="J756" s="69"/>
    </row>
    <row r="757" ht="14.25" customHeight="1">
      <c r="J757" s="69"/>
    </row>
    <row r="758" ht="14.25" customHeight="1">
      <c r="J758" s="69"/>
    </row>
    <row r="759" ht="14.25" customHeight="1">
      <c r="J759" s="69"/>
    </row>
    <row r="760" ht="14.25" customHeight="1">
      <c r="J760" s="69"/>
    </row>
    <row r="761" ht="14.25" customHeight="1">
      <c r="J761" s="69"/>
    </row>
    <row r="762" ht="14.25" customHeight="1">
      <c r="J762" s="69"/>
    </row>
    <row r="763" ht="14.25" customHeight="1">
      <c r="J763" s="69"/>
    </row>
    <row r="764" ht="14.25" customHeight="1">
      <c r="J764" s="69"/>
    </row>
    <row r="765" ht="14.25" customHeight="1">
      <c r="J765" s="69"/>
    </row>
    <row r="766" ht="14.25" customHeight="1">
      <c r="J766" s="69"/>
    </row>
    <row r="767" ht="14.25" customHeight="1">
      <c r="J767" s="69"/>
    </row>
    <row r="768" ht="14.25" customHeight="1">
      <c r="J768" s="69"/>
    </row>
    <row r="769" ht="14.25" customHeight="1">
      <c r="J769" s="69"/>
    </row>
    <row r="770" ht="14.25" customHeight="1">
      <c r="J770" s="69"/>
    </row>
    <row r="771" ht="14.25" customHeight="1">
      <c r="J771" s="69"/>
    </row>
    <row r="772" ht="14.25" customHeight="1">
      <c r="J772" s="69"/>
    </row>
    <row r="773" ht="14.25" customHeight="1">
      <c r="J773" s="69"/>
    </row>
    <row r="774" ht="14.25" customHeight="1">
      <c r="J774" s="69"/>
    </row>
    <row r="775" ht="14.25" customHeight="1">
      <c r="J775" s="69"/>
    </row>
    <row r="776" ht="14.25" customHeight="1">
      <c r="J776" s="69"/>
    </row>
    <row r="777" ht="14.25" customHeight="1">
      <c r="J777" s="69"/>
    </row>
    <row r="778" ht="14.25" customHeight="1">
      <c r="J778" s="69"/>
    </row>
    <row r="779" ht="14.25" customHeight="1">
      <c r="J779" s="69"/>
    </row>
    <row r="780" ht="14.25" customHeight="1">
      <c r="J780" s="69"/>
    </row>
    <row r="781" ht="14.25" customHeight="1">
      <c r="J781" s="69"/>
    </row>
    <row r="782" ht="14.25" customHeight="1">
      <c r="J782" s="69"/>
    </row>
    <row r="783" ht="14.25" customHeight="1">
      <c r="J783" s="69"/>
    </row>
    <row r="784" ht="14.25" customHeight="1">
      <c r="J784" s="69"/>
    </row>
    <row r="785" ht="14.25" customHeight="1">
      <c r="J785" s="69"/>
    </row>
    <row r="786" ht="14.25" customHeight="1">
      <c r="J786" s="69"/>
    </row>
    <row r="787" ht="14.25" customHeight="1">
      <c r="J787" s="69"/>
    </row>
    <row r="788" ht="14.25" customHeight="1">
      <c r="J788" s="69"/>
    </row>
    <row r="789" ht="14.25" customHeight="1">
      <c r="J789" s="69"/>
    </row>
    <row r="790" ht="14.25" customHeight="1">
      <c r="J790" s="69"/>
    </row>
    <row r="791" ht="14.25" customHeight="1">
      <c r="J791" s="69"/>
    </row>
    <row r="792" ht="14.25" customHeight="1">
      <c r="J792" s="69"/>
    </row>
    <row r="793" ht="14.25" customHeight="1">
      <c r="J793" s="69"/>
    </row>
    <row r="794" ht="14.25" customHeight="1">
      <c r="J794" s="69"/>
    </row>
    <row r="795" ht="14.25" customHeight="1">
      <c r="J795" s="69"/>
    </row>
    <row r="796" ht="14.25" customHeight="1">
      <c r="J796" s="69"/>
    </row>
    <row r="797" ht="14.25" customHeight="1">
      <c r="J797" s="69"/>
    </row>
    <row r="798" ht="14.25" customHeight="1">
      <c r="J798" s="69"/>
    </row>
    <row r="799" ht="14.25" customHeight="1">
      <c r="J799" s="69"/>
    </row>
    <row r="800" ht="14.25" customHeight="1">
      <c r="J800" s="69"/>
    </row>
    <row r="801" ht="14.25" customHeight="1">
      <c r="J801" s="69"/>
    </row>
    <row r="802" ht="14.25" customHeight="1">
      <c r="J802" s="69"/>
    </row>
    <row r="803" ht="14.25" customHeight="1">
      <c r="J803" s="69"/>
    </row>
    <row r="804" ht="14.25" customHeight="1">
      <c r="J804" s="69"/>
    </row>
    <row r="805" ht="14.25" customHeight="1">
      <c r="J805" s="69"/>
    </row>
    <row r="806" ht="14.25" customHeight="1">
      <c r="J806" s="69"/>
    </row>
    <row r="807" ht="14.25" customHeight="1">
      <c r="J807" s="69"/>
    </row>
    <row r="808" ht="14.25" customHeight="1">
      <c r="J808" s="69"/>
    </row>
    <row r="809" ht="14.25" customHeight="1">
      <c r="J809" s="69"/>
    </row>
    <row r="810" ht="14.25" customHeight="1">
      <c r="J810" s="69"/>
    </row>
    <row r="811" ht="14.25" customHeight="1">
      <c r="J811" s="69"/>
    </row>
    <row r="812" ht="14.25" customHeight="1">
      <c r="J812" s="69"/>
    </row>
    <row r="813" ht="14.25" customHeight="1">
      <c r="J813" s="69"/>
    </row>
    <row r="814" ht="14.25" customHeight="1">
      <c r="J814" s="69"/>
    </row>
    <row r="815" ht="14.25" customHeight="1">
      <c r="J815" s="69"/>
    </row>
    <row r="816" ht="14.25" customHeight="1">
      <c r="J816" s="69"/>
    </row>
    <row r="817" ht="14.25" customHeight="1">
      <c r="J817" s="69"/>
    </row>
    <row r="818" ht="14.25" customHeight="1">
      <c r="J818" s="69"/>
    </row>
    <row r="819" ht="14.25" customHeight="1">
      <c r="J819" s="69"/>
    </row>
    <row r="820" ht="14.25" customHeight="1">
      <c r="J820" s="69"/>
    </row>
    <row r="821" ht="14.25" customHeight="1">
      <c r="J821" s="69"/>
    </row>
    <row r="822" ht="14.25" customHeight="1">
      <c r="J822" s="69"/>
    </row>
    <row r="823" ht="14.25" customHeight="1">
      <c r="J823" s="69"/>
    </row>
    <row r="824" ht="14.25" customHeight="1">
      <c r="J824" s="69"/>
    </row>
    <row r="825" ht="14.25" customHeight="1">
      <c r="J825" s="69"/>
    </row>
    <row r="826" ht="14.25" customHeight="1">
      <c r="J826" s="69"/>
    </row>
    <row r="827" ht="14.25" customHeight="1">
      <c r="J827" s="69"/>
    </row>
    <row r="828" ht="14.25" customHeight="1">
      <c r="J828" s="69"/>
    </row>
    <row r="829" ht="14.25" customHeight="1">
      <c r="J829" s="69"/>
    </row>
    <row r="830" ht="14.25" customHeight="1">
      <c r="J830" s="69"/>
    </row>
    <row r="831" ht="14.25" customHeight="1">
      <c r="J831" s="69"/>
    </row>
    <row r="832" ht="14.25" customHeight="1">
      <c r="J832" s="69"/>
    </row>
    <row r="833" ht="14.25" customHeight="1">
      <c r="J833" s="69"/>
    </row>
    <row r="834" ht="14.25" customHeight="1">
      <c r="J834" s="69"/>
    </row>
    <row r="835" ht="14.25" customHeight="1">
      <c r="J835" s="69"/>
    </row>
    <row r="836" ht="14.25" customHeight="1">
      <c r="J836" s="69"/>
    </row>
    <row r="837" ht="14.25" customHeight="1">
      <c r="J837" s="69"/>
    </row>
    <row r="838" ht="14.25" customHeight="1">
      <c r="J838" s="69"/>
    </row>
    <row r="839" ht="14.25" customHeight="1">
      <c r="J839" s="69"/>
    </row>
    <row r="840" ht="14.25" customHeight="1">
      <c r="J840" s="69"/>
    </row>
    <row r="841" ht="14.25" customHeight="1">
      <c r="J841" s="69"/>
    </row>
    <row r="842" ht="14.25" customHeight="1">
      <c r="J842" s="69"/>
    </row>
    <row r="843" ht="14.25" customHeight="1">
      <c r="J843" s="69"/>
    </row>
    <row r="844" ht="14.25" customHeight="1">
      <c r="J844" s="69"/>
    </row>
    <row r="845" ht="14.25" customHeight="1">
      <c r="J845" s="69"/>
    </row>
    <row r="846" ht="14.25" customHeight="1">
      <c r="J846" s="69"/>
    </row>
    <row r="847" ht="14.25" customHeight="1">
      <c r="J847" s="69"/>
    </row>
    <row r="848" ht="14.25" customHeight="1">
      <c r="J848" s="69"/>
    </row>
    <row r="849" ht="14.25" customHeight="1">
      <c r="J849" s="69"/>
    </row>
    <row r="850" ht="14.25" customHeight="1">
      <c r="J850" s="69"/>
    </row>
    <row r="851" ht="14.25" customHeight="1">
      <c r="J851" s="69"/>
    </row>
    <row r="852" ht="14.25" customHeight="1">
      <c r="J852" s="69"/>
    </row>
    <row r="853" ht="14.25" customHeight="1">
      <c r="J853" s="69"/>
    </row>
    <row r="854" ht="14.25" customHeight="1">
      <c r="J854" s="69"/>
    </row>
    <row r="855" ht="14.25" customHeight="1">
      <c r="J855" s="69"/>
    </row>
    <row r="856" ht="14.25" customHeight="1">
      <c r="J856" s="69"/>
    </row>
    <row r="857" ht="14.25" customHeight="1">
      <c r="J857" s="69"/>
    </row>
    <row r="858" ht="14.25" customHeight="1">
      <c r="J858" s="69"/>
    </row>
    <row r="859" ht="14.25" customHeight="1">
      <c r="J859" s="69"/>
    </row>
    <row r="860" ht="14.25" customHeight="1">
      <c r="J860" s="69"/>
    </row>
    <row r="861" ht="14.25" customHeight="1">
      <c r="J861" s="69"/>
    </row>
    <row r="862" ht="14.25" customHeight="1">
      <c r="J862" s="69"/>
    </row>
    <row r="863" ht="14.25" customHeight="1">
      <c r="J863" s="69"/>
    </row>
    <row r="864" ht="14.25" customHeight="1">
      <c r="J864" s="69"/>
    </row>
    <row r="865" ht="14.25" customHeight="1">
      <c r="J865" s="69"/>
    </row>
    <row r="866" ht="14.25" customHeight="1">
      <c r="J866" s="69"/>
    </row>
    <row r="867" ht="14.25" customHeight="1">
      <c r="J867" s="69"/>
    </row>
    <row r="868" ht="14.25" customHeight="1">
      <c r="J868" s="69"/>
    </row>
    <row r="869" ht="14.25" customHeight="1">
      <c r="J869" s="69"/>
    </row>
    <row r="870" ht="14.25" customHeight="1">
      <c r="J870" s="69"/>
    </row>
    <row r="871" ht="14.25" customHeight="1">
      <c r="J871" s="69"/>
    </row>
    <row r="872" ht="14.25" customHeight="1">
      <c r="J872" s="69"/>
    </row>
    <row r="873" ht="14.25" customHeight="1">
      <c r="J873" s="69"/>
    </row>
    <row r="874" ht="14.25" customHeight="1">
      <c r="J874" s="69"/>
    </row>
    <row r="875" ht="14.25" customHeight="1">
      <c r="J875" s="69"/>
    </row>
    <row r="876" ht="14.25" customHeight="1">
      <c r="J876" s="69"/>
    </row>
    <row r="877" ht="14.25" customHeight="1">
      <c r="J877" s="69"/>
    </row>
    <row r="878" ht="14.25" customHeight="1">
      <c r="J878" s="69"/>
    </row>
    <row r="879" ht="14.25" customHeight="1">
      <c r="J879" s="69"/>
    </row>
    <row r="880" ht="14.25" customHeight="1">
      <c r="J880" s="69"/>
    </row>
    <row r="881" ht="14.25" customHeight="1">
      <c r="J881" s="69"/>
    </row>
    <row r="882" ht="14.25" customHeight="1">
      <c r="J882" s="69"/>
    </row>
    <row r="883" ht="14.25" customHeight="1">
      <c r="J883" s="69"/>
    </row>
    <row r="884" ht="14.25" customHeight="1">
      <c r="J884" s="69"/>
    </row>
    <row r="885" ht="14.25" customHeight="1">
      <c r="J885" s="69"/>
    </row>
    <row r="886" ht="14.25" customHeight="1">
      <c r="J886" s="69"/>
    </row>
    <row r="887" ht="14.25" customHeight="1">
      <c r="J887" s="69"/>
    </row>
    <row r="888" ht="14.25" customHeight="1">
      <c r="J888" s="69"/>
    </row>
    <row r="889" ht="14.25" customHeight="1">
      <c r="J889" s="69"/>
    </row>
    <row r="890" ht="14.25" customHeight="1">
      <c r="J890" s="69"/>
    </row>
    <row r="891" ht="14.25" customHeight="1">
      <c r="J891" s="69"/>
    </row>
    <row r="892" ht="14.25" customHeight="1">
      <c r="J892" s="69"/>
    </row>
    <row r="893" ht="14.25" customHeight="1">
      <c r="J893" s="69"/>
    </row>
    <row r="894" ht="14.25" customHeight="1">
      <c r="J894" s="69"/>
    </row>
    <row r="895" ht="14.25" customHeight="1">
      <c r="J895" s="69"/>
    </row>
    <row r="896" ht="14.25" customHeight="1">
      <c r="J896" s="69"/>
    </row>
    <row r="897" ht="14.25" customHeight="1">
      <c r="J897" s="69"/>
    </row>
    <row r="898" ht="14.25" customHeight="1">
      <c r="J898" s="69"/>
    </row>
    <row r="899" ht="14.25" customHeight="1">
      <c r="J899" s="69"/>
    </row>
    <row r="900" ht="14.25" customHeight="1">
      <c r="J900" s="69"/>
    </row>
    <row r="901" ht="14.25" customHeight="1">
      <c r="J901" s="69"/>
    </row>
    <row r="902" ht="14.25" customHeight="1">
      <c r="J902" s="69"/>
    </row>
    <row r="903" ht="14.25" customHeight="1">
      <c r="J903" s="69"/>
    </row>
    <row r="904" ht="14.25" customHeight="1">
      <c r="J904" s="69"/>
    </row>
    <row r="905" ht="14.25" customHeight="1">
      <c r="J905" s="69"/>
    </row>
    <row r="906" ht="14.25" customHeight="1">
      <c r="J906" s="69"/>
    </row>
    <row r="907" ht="14.25" customHeight="1">
      <c r="J907" s="69"/>
    </row>
    <row r="908" ht="14.25" customHeight="1">
      <c r="J908" s="69"/>
    </row>
    <row r="909" ht="14.25" customHeight="1">
      <c r="J909" s="69"/>
    </row>
    <row r="910" ht="14.25" customHeight="1">
      <c r="J910" s="69"/>
    </row>
    <row r="911" ht="14.25" customHeight="1">
      <c r="J911" s="69"/>
    </row>
    <row r="912" ht="14.25" customHeight="1">
      <c r="J912" s="69"/>
    </row>
    <row r="913" ht="14.25" customHeight="1">
      <c r="J913" s="69"/>
    </row>
    <row r="914" ht="14.25" customHeight="1">
      <c r="J914" s="69"/>
    </row>
    <row r="915" ht="14.25" customHeight="1">
      <c r="J915" s="69"/>
    </row>
    <row r="916" ht="14.25" customHeight="1">
      <c r="J916" s="69"/>
    </row>
    <row r="917" ht="14.25" customHeight="1">
      <c r="J917" s="69"/>
    </row>
    <row r="918" ht="14.25" customHeight="1">
      <c r="J918" s="69"/>
    </row>
    <row r="919" ht="14.25" customHeight="1">
      <c r="J919" s="69"/>
    </row>
    <row r="920" ht="14.25" customHeight="1">
      <c r="J920" s="69"/>
    </row>
    <row r="921" ht="14.25" customHeight="1">
      <c r="J921" s="69"/>
    </row>
    <row r="922" ht="14.25" customHeight="1">
      <c r="J922" s="69"/>
    </row>
    <row r="923" ht="14.25" customHeight="1">
      <c r="J923" s="69"/>
    </row>
    <row r="924" ht="14.25" customHeight="1">
      <c r="J924" s="69"/>
    </row>
    <row r="925" ht="14.25" customHeight="1">
      <c r="J925" s="69"/>
    </row>
    <row r="926" ht="14.25" customHeight="1">
      <c r="J926" s="69"/>
    </row>
    <row r="927" ht="14.25" customHeight="1">
      <c r="J927" s="69"/>
    </row>
    <row r="928" ht="14.25" customHeight="1">
      <c r="J928" s="69"/>
    </row>
    <row r="929" ht="14.25" customHeight="1">
      <c r="J929" s="69"/>
    </row>
    <row r="930" ht="14.25" customHeight="1">
      <c r="J930" s="69"/>
    </row>
    <row r="931" ht="14.25" customHeight="1">
      <c r="J931" s="69"/>
    </row>
    <row r="932" ht="14.25" customHeight="1">
      <c r="J932" s="69"/>
    </row>
    <row r="933" ht="14.25" customHeight="1">
      <c r="J933" s="69"/>
    </row>
    <row r="934" ht="14.25" customHeight="1">
      <c r="J934" s="69"/>
    </row>
    <row r="935" ht="14.25" customHeight="1">
      <c r="J935" s="69"/>
    </row>
    <row r="936" ht="14.25" customHeight="1">
      <c r="J936" s="69"/>
    </row>
    <row r="937" ht="14.25" customHeight="1">
      <c r="J937" s="69"/>
    </row>
    <row r="938" ht="14.25" customHeight="1">
      <c r="J938" s="69"/>
    </row>
    <row r="939" ht="14.25" customHeight="1">
      <c r="J939" s="69"/>
    </row>
    <row r="940" ht="14.25" customHeight="1">
      <c r="J940" s="69"/>
    </row>
    <row r="941" ht="14.25" customHeight="1">
      <c r="J941" s="69"/>
    </row>
    <row r="942" ht="14.25" customHeight="1">
      <c r="J942" s="69"/>
    </row>
    <row r="943" ht="14.25" customHeight="1">
      <c r="J943" s="69"/>
    </row>
    <row r="944" ht="14.25" customHeight="1">
      <c r="J944" s="69"/>
    </row>
    <row r="945" ht="14.25" customHeight="1">
      <c r="J945" s="69"/>
    </row>
    <row r="946" ht="14.25" customHeight="1">
      <c r="J946" s="69"/>
    </row>
    <row r="947" ht="14.25" customHeight="1">
      <c r="J947" s="69"/>
    </row>
    <row r="948" ht="14.25" customHeight="1">
      <c r="J948" s="69"/>
    </row>
    <row r="949" ht="14.25" customHeight="1">
      <c r="J949" s="69"/>
    </row>
    <row r="950" ht="14.25" customHeight="1">
      <c r="J950" s="69"/>
    </row>
    <row r="951" ht="14.25" customHeight="1">
      <c r="J951" s="69"/>
    </row>
    <row r="952" ht="14.25" customHeight="1">
      <c r="J952" s="69"/>
    </row>
    <row r="953" ht="14.25" customHeight="1">
      <c r="J953" s="69"/>
    </row>
    <row r="954" ht="14.25" customHeight="1">
      <c r="J954" s="69"/>
    </row>
    <row r="955" ht="14.25" customHeight="1">
      <c r="J955" s="69"/>
    </row>
    <row r="956" ht="14.25" customHeight="1">
      <c r="J956" s="69"/>
    </row>
    <row r="957" ht="14.25" customHeight="1">
      <c r="J957" s="69"/>
    </row>
    <row r="958" ht="14.25" customHeight="1">
      <c r="J958" s="69"/>
    </row>
    <row r="959" ht="14.25" customHeight="1">
      <c r="J959" s="69"/>
    </row>
    <row r="960" ht="14.25" customHeight="1">
      <c r="J960" s="69"/>
    </row>
    <row r="961" ht="14.25" customHeight="1">
      <c r="J961" s="69"/>
    </row>
    <row r="962" ht="14.25" customHeight="1">
      <c r="J962" s="69"/>
    </row>
    <row r="963" ht="14.25" customHeight="1">
      <c r="J963" s="69"/>
    </row>
    <row r="964" ht="14.25" customHeight="1">
      <c r="J964" s="69"/>
    </row>
    <row r="965" ht="14.25" customHeight="1">
      <c r="J965" s="69"/>
    </row>
    <row r="966" ht="14.25" customHeight="1">
      <c r="J966" s="69"/>
    </row>
    <row r="967" ht="14.25" customHeight="1">
      <c r="J967" s="69"/>
    </row>
    <row r="968" ht="14.25" customHeight="1">
      <c r="J968" s="69"/>
    </row>
    <row r="969" ht="14.25" customHeight="1">
      <c r="J969" s="69"/>
    </row>
    <row r="970" ht="14.25" customHeight="1">
      <c r="J970" s="69"/>
    </row>
    <row r="971" ht="14.25" customHeight="1">
      <c r="J971" s="69"/>
    </row>
    <row r="972" ht="14.25" customHeight="1">
      <c r="J972" s="69"/>
    </row>
    <row r="973" ht="14.25" customHeight="1">
      <c r="J973" s="69"/>
    </row>
    <row r="974" ht="14.25" customHeight="1">
      <c r="J974" s="69"/>
    </row>
    <row r="975" ht="14.25" customHeight="1">
      <c r="J975" s="69"/>
    </row>
    <row r="976" ht="14.25" customHeight="1">
      <c r="J976" s="69"/>
    </row>
    <row r="977" ht="14.25" customHeight="1">
      <c r="J977" s="69"/>
    </row>
    <row r="978" ht="14.25" customHeight="1">
      <c r="J978" s="69"/>
    </row>
    <row r="979" ht="14.25" customHeight="1">
      <c r="J979" s="69"/>
    </row>
    <row r="980" ht="14.25" customHeight="1">
      <c r="J980" s="69"/>
    </row>
    <row r="981" ht="14.25" customHeight="1">
      <c r="J981" s="69"/>
    </row>
    <row r="982" ht="14.25" customHeight="1">
      <c r="J982" s="69"/>
    </row>
    <row r="983" ht="14.25" customHeight="1">
      <c r="J983" s="69"/>
    </row>
    <row r="984" ht="14.25" customHeight="1">
      <c r="J984" s="69"/>
    </row>
    <row r="985" ht="14.25" customHeight="1">
      <c r="J985" s="69"/>
    </row>
    <row r="986" ht="14.25" customHeight="1">
      <c r="J986" s="69"/>
    </row>
    <row r="987" ht="14.25" customHeight="1">
      <c r="J987" s="69"/>
    </row>
    <row r="988" ht="14.25" customHeight="1">
      <c r="J988" s="69"/>
    </row>
    <row r="989" ht="14.25" customHeight="1">
      <c r="J989" s="69"/>
    </row>
    <row r="990" ht="14.25" customHeight="1">
      <c r="J990" s="69"/>
    </row>
    <row r="991" ht="14.25" customHeight="1">
      <c r="J991" s="69"/>
    </row>
    <row r="992" ht="14.25" customHeight="1">
      <c r="J992" s="69"/>
    </row>
    <row r="993" ht="14.25" customHeight="1">
      <c r="J993" s="69"/>
    </row>
    <row r="994" ht="14.25" customHeight="1">
      <c r="J994" s="69"/>
    </row>
    <row r="995" ht="14.25" customHeight="1">
      <c r="J995" s="69"/>
    </row>
    <row r="996" ht="14.25" customHeight="1">
      <c r="J996" s="69"/>
    </row>
    <row r="997" ht="14.25" customHeight="1">
      <c r="J997" s="69"/>
    </row>
    <row r="998" ht="14.25" customHeight="1">
      <c r="J998" s="69"/>
    </row>
    <row r="999" ht="14.25" customHeight="1">
      <c r="J999" s="69"/>
    </row>
    <row r="1000" ht="14.25" customHeight="1">
      <c r="J1000" s="69"/>
    </row>
    <row r="1001" ht="14.25" customHeight="1">
      <c r="J1001" s="69"/>
    </row>
  </sheetData>
  <mergeCells count="1">
    <mergeCell ref="A1:J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63"/>
    <col customWidth="1" min="2" max="2" width="43.0"/>
    <col customWidth="1" min="3" max="3" width="17.88"/>
    <col customWidth="1" min="4" max="6" width="9.13"/>
    <col customWidth="1" min="7" max="9" width="9.88"/>
    <col customWidth="1" min="10" max="10" width="13.38"/>
    <col customWidth="1" min="11" max="11" width="31.5"/>
    <col customWidth="1" min="12" max="12" width="41.25"/>
    <col customWidth="1" min="13" max="13" width="54.38"/>
    <col customWidth="1" min="14" max="14" width="22.13"/>
    <col customWidth="1" min="15" max="15" width="21.88"/>
    <col customWidth="1" min="16" max="26" width="10.63"/>
  </cols>
  <sheetData>
    <row r="1" ht="32.25" customHeight="1">
      <c r="A1" s="1" t="s">
        <v>560</v>
      </c>
      <c r="B1" s="2"/>
      <c r="C1" s="2"/>
      <c r="D1" s="2"/>
      <c r="E1" s="2"/>
      <c r="F1" s="2"/>
      <c r="G1" s="2"/>
      <c r="H1" s="2"/>
      <c r="I1" s="2"/>
      <c r="J1" s="2"/>
      <c r="K1" s="2"/>
      <c r="L1" s="27"/>
      <c r="M1" s="27"/>
      <c r="N1" s="27"/>
      <c r="O1" s="28"/>
    </row>
    <row r="2" ht="14.25" customHeight="1"/>
    <row r="3" ht="14.25" customHeight="1">
      <c r="A3" s="78" t="s">
        <v>1</v>
      </c>
      <c r="B3" s="79"/>
      <c r="C3" s="79"/>
      <c r="D3" s="79"/>
      <c r="E3" s="79"/>
      <c r="F3" s="79"/>
      <c r="G3" s="79"/>
      <c r="H3" s="79"/>
      <c r="I3" s="79"/>
      <c r="J3" s="79"/>
      <c r="K3" s="80"/>
      <c r="L3" s="81"/>
      <c r="M3" s="81"/>
      <c r="N3" s="81"/>
      <c r="O3" s="82"/>
    </row>
    <row r="4" ht="33.75" customHeight="1">
      <c r="A4" s="11" t="s">
        <v>2</v>
      </c>
      <c r="B4" s="11" t="s">
        <v>3</v>
      </c>
      <c r="C4" s="11" t="s">
        <v>4</v>
      </c>
      <c r="D4" s="11" t="s">
        <v>561</v>
      </c>
      <c r="E4" s="11" t="s">
        <v>562</v>
      </c>
      <c r="F4" s="11" t="s">
        <v>563</v>
      </c>
      <c r="G4" s="11" t="s">
        <v>564</v>
      </c>
      <c r="H4" s="11" t="s">
        <v>9</v>
      </c>
      <c r="I4" s="11" t="s">
        <v>10</v>
      </c>
      <c r="J4" s="56" t="s">
        <v>301</v>
      </c>
      <c r="K4" s="11" t="s">
        <v>12</v>
      </c>
      <c r="L4" s="11" t="s">
        <v>565</v>
      </c>
      <c r="M4" s="11" t="s">
        <v>566</v>
      </c>
      <c r="N4" s="11" t="s">
        <v>567</v>
      </c>
      <c r="O4" s="11" t="s">
        <v>568</v>
      </c>
    </row>
    <row r="5" ht="33.75" customHeight="1">
      <c r="A5" s="38" t="s">
        <v>569</v>
      </c>
      <c r="B5" s="38" t="s">
        <v>570</v>
      </c>
      <c r="C5" s="38" t="s">
        <v>571</v>
      </c>
      <c r="D5" s="83">
        <v>0.0</v>
      </c>
      <c r="E5" s="83">
        <v>1.0</v>
      </c>
      <c r="F5" s="84">
        <v>0.0</v>
      </c>
      <c r="G5" s="84">
        <v>0.0</v>
      </c>
      <c r="H5" s="84">
        <f t="shared" ref="H5:H11" si="1">SUM(D5:G5)</f>
        <v>1</v>
      </c>
      <c r="I5" s="84">
        <v>2.0</v>
      </c>
      <c r="J5" s="34">
        <f t="shared" ref="J5:J11" si="2">H5/I5</f>
        <v>0.5</v>
      </c>
      <c r="K5" s="18" t="s">
        <v>572</v>
      </c>
      <c r="L5" s="85" t="s">
        <v>573</v>
      </c>
      <c r="M5" s="85" t="s">
        <v>574</v>
      </c>
      <c r="N5" s="86"/>
      <c r="O5" s="86"/>
    </row>
    <row r="6" ht="33.75" customHeight="1">
      <c r="A6" s="38" t="s">
        <v>569</v>
      </c>
      <c r="B6" s="38" t="s">
        <v>575</v>
      </c>
      <c r="C6" s="38" t="s">
        <v>571</v>
      </c>
      <c r="D6" s="87">
        <v>1.0</v>
      </c>
      <c r="E6" s="87">
        <v>0.0</v>
      </c>
      <c r="F6" s="88">
        <v>0.0</v>
      </c>
      <c r="G6" s="88">
        <v>0.0</v>
      </c>
      <c r="H6" s="84">
        <f t="shared" si="1"/>
        <v>1</v>
      </c>
      <c r="I6" s="88">
        <v>2.0</v>
      </c>
      <c r="J6" s="34">
        <f t="shared" si="2"/>
        <v>0.5</v>
      </c>
      <c r="K6" s="18" t="s">
        <v>576</v>
      </c>
      <c r="L6" s="89" t="s">
        <v>577</v>
      </c>
      <c r="M6" s="90" t="s">
        <v>578</v>
      </c>
      <c r="N6" s="91"/>
      <c r="O6" s="91"/>
    </row>
    <row r="7" ht="33.75" customHeight="1">
      <c r="A7" s="32" t="s">
        <v>579</v>
      </c>
      <c r="B7" s="17" t="s">
        <v>580</v>
      </c>
      <c r="C7" s="17" t="s">
        <v>581</v>
      </c>
      <c r="D7" s="92">
        <v>5.0</v>
      </c>
      <c r="E7" s="93">
        <v>0.0</v>
      </c>
      <c r="F7" s="93">
        <v>0.0</v>
      </c>
      <c r="G7" s="93">
        <v>0.0</v>
      </c>
      <c r="H7" s="84">
        <f t="shared" si="1"/>
        <v>5</v>
      </c>
      <c r="I7" s="93">
        <v>5.0</v>
      </c>
      <c r="J7" s="34">
        <f t="shared" si="2"/>
        <v>1</v>
      </c>
      <c r="K7" s="18" t="s">
        <v>582</v>
      </c>
      <c r="L7" s="94" t="s">
        <v>583</v>
      </c>
      <c r="M7" s="94" t="s">
        <v>584</v>
      </c>
      <c r="N7" s="95"/>
      <c r="O7" s="95"/>
    </row>
    <row r="8" ht="33.75" customHeight="1">
      <c r="A8" s="32" t="s">
        <v>579</v>
      </c>
      <c r="B8" s="17" t="s">
        <v>585</v>
      </c>
      <c r="C8" s="17" t="s">
        <v>586</v>
      </c>
      <c r="D8" s="83">
        <v>2.0</v>
      </c>
      <c r="E8" s="83">
        <v>1.0</v>
      </c>
      <c r="F8" s="84">
        <v>0.0</v>
      </c>
      <c r="G8" s="84">
        <v>0.0</v>
      </c>
      <c r="H8" s="84">
        <f t="shared" si="1"/>
        <v>3</v>
      </c>
      <c r="I8" s="84">
        <v>3.0</v>
      </c>
      <c r="J8" s="34">
        <f t="shared" si="2"/>
        <v>1</v>
      </c>
      <c r="K8" s="18" t="s">
        <v>587</v>
      </c>
      <c r="L8" s="96" t="s">
        <v>588</v>
      </c>
      <c r="M8" s="96" t="s">
        <v>589</v>
      </c>
      <c r="N8" s="86"/>
      <c r="O8" s="86"/>
    </row>
    <row r="9" ht="33.75" customHeight="1">
      <c r="A9" s="32" t="s">
        <v>579</v>
      </c>
      <c r="B9" s="18" t="s">
        <v>590</v>
      </c>
      <c r="C9" s="17"/>
      <c r="D9" s="87">
        <v>59.0</v>
      </c>
      <c r="E9" s="88">
        <v>0.0</v>
      </c>
      <c r="F9" s="88">
        <v>0.0</v>
      </c>
      <c r="G9" s="88">
        <v>0.0</v>
      </c>
      <c r="H9" s="84">
        <f t="shared" si="1"/>
        <v>59</v>
      </c>
      <c r="I9" s="88">
        <v>50.0</v>
      </c>
      <c r="J9" s="34">
        <f t="shared" si="2"/>
        <v>1.18</v>
      </c>
      <c r="K9" s="18" t="s">
        <v>591</v>
      </c>
      <c r="L9" s="90" t="s">
        <v>592</v>
      </c>
      <c r="M9" s="90" t="s">
        <v>593</v>
      </c>
      <c r="N9" s="91"/>
      <c r="O9" s="91"/>
    </row>
    <row r="10" ht="33.75" customHeight="1">
      <c r="A10" s="17" t="s">
        <v>594</v>
      </c>
      <c r="B10" s="17" t="s">
        <v>595</v>
      </c>
      <c r="C10" s="17" t="s">
        <v>596</v>
      </c>
      <c r="D10" s="92">
        <v>1.0</v>
      </c>
      <c r="E10" s="92">
        <v>3.0</v>
      </c>
      <c r="F10" s="93">
        <v>0.0</v>
      </c>
      <c r="G10" s="93">
        <v>0.0</v>
      </c>
      <c r="H10" s="84">
        <f t="shared" si="1"/>
        <v>4</v>
      </c>
      <c r="I10" s="92">
        <v>5.0</v>
      </c>
      <c r="J10" s="34">
        <f t="shared" si="2"/>
        <v>0.8</v>
      </c>
      <c r="K10" s="18" t="s">
        <v>597</v>
      </c>
      <c r="L10" s="94" t="s">
        <v>598</v>
      </c>
      <c r="M10" s="94" t="s">
        <v>599</v>
      </c>
      <c r="N10" s="95"/>
      <c r="O10" s="95"/>
    </row>
    <row r="11" ht="33.75" customHeight="1">
      <c r="A11" s="17" t="s">
        <v>600</v>
      </c>
      <c r="B11" s="17" t="s">
        <v>601</v>
      </c>
      <c r="C11" s="17" t="s">
        <v>602</v>
      </c>
      <c r="D11" s="83">
        <v>54.0</v>
      </c>
      <c r="E11" s="84">
        <v>0.0</v>
      </c>
      <c r="F11" s="84">
        <v>0.0</v>
      </c>
      <c r="G11" s="84">
        <v>0.0</v>
      </c>
      <c r="H11" s="84">
        <f t="shared" si="1"/>
        <v>54</v>
      </c>
      <c r="I11" s="83">
        <v>50.0</v>
      </c>
      <c r="J11" s="34">
        <f t="shared" si="2"/>
        <v>1.08</v>
      </c>
      <c r="K11" s="18" t="s">
        <v>603</v>
      </c>
      <c r="L11" s="96" t="s">
        <v>604</v>
      </c>
      <c r="M11" s="96" t="s">
        <v>605</v>
      </c>
      <c r="N11" s="86"/>
      <c r="O11" s="86"/>
    </row>
    <row r="12" ht="33.75" customHeight="1">
      <c r="A12" s="97"/>
      <c r="B12" s="97"/>
      <c r="C12" s="97"/>
      <c r="D12" s="97"/>
      <c r="E12" s="97"/>
      <c r="F12" s="97"/>
      <c r="G12" s="97"/>
      <c r="H12" s="97"/>
      <c r="I12" s="97"/>
      <c r="J12" s="97"/>
      <c r="K12" s="97"/>
      <c r="L12" s="97"/>
      <c r="M12" s="97"/>
      <c r="N12" s="97"/>
      <c r="O12" s="97"/>
    </row>
    <row r="13" ht="33.75" customHeight="1">
      <c r="A13" s="98"/>
      <c r="B13" s="98"/>
      <c r="C13" s="98"/>
      <c r="D13" s="98"/>
      <c r="E13" s="98"/>
      <c r="F13" s="98"/>
      <c r="G13" s="98"/>
      <c r="H13" s="98"/>
      <c r="I13" s="98"/>
      <c r="J13" s="98"/>
      <c r="K13" s="98"/>
      <c r="L13" s="98"/>
      <c r="M13" s="98"/>
      <c r="N13" s="98"/>
      <c r="O13" s="98"/>
    </row>
    <row r="14" ht="33.75" customHeight="1">
      <c r="A14" s="78" t="s">
        <v>53</v>
      </c>
      <c r="B14" s="79"/>
      <c r="C14" s="79"/>
      <c r="D14" s="79"/>
      <c r="E14" s="79"/>
      <c r="F14" s="79"/>
      <c r="G14" s="79"/>
      <c r="H14" s="79"/>
      <c r="I14" s="79"/>
      <c r="J14" s="79"/>
      <c r="K14" s="80"/>
      <c r="L14" s="81"/>
      <c r="M14" s="81"/>
      <c r="N14" s="81"/>
      <c r="O14" s="82"/>
    </row>
    <row r="15" ht="33.75" customHeight="1">
      <c r="A15" s="11" t="s">
        <v>2</v>
      </c>
      <c r="B15" s="11" t="s">
        <v>3</v>
      </c>
      <c r="C15" s="11" t="s">
        <v>4</v>
      </c>
      <c r="D15" s="11" t="s">
        <v>606</v>
      </c>
      <c r="E15" s="11" t="s">
        <v>607</v>
      </c>
      <c r="F15" s="11" t="s">
        <v>608</v>
      </c>
      <c r="G15" s="11" t="s">
        <v>609</v>
      </c>
      <c r="H15" s="11" t="s">
        <v>9</v>
      </c>
      <c r="I15" s="11" t="s">
        <v>10</v>
      </c>
      <c r="J15" s="56" t="s">
        <v>301</v>
      </c>
      <c r="K15" s="11" t="s">
        <v>12</v>
      </c>
      <c r="L15" s="11" t="s">
        <v>610</v>
      </c>
      <c r="M15" s="11" t="s">
        <v>611</v>
      </c>
      <c r="N15" s="11" t="s">
        <v>612</v>
      </c>
      <c r="O15" s="11" t="s">
        <v>613</v>
      </c>
    </row>
    <row r="16" ht="33.75" customHeight="1">
      <c r="A16" s="17" t="s">
        <v>614</v>
      </c>
      <c r="B16" s="17" t="s">
        <v>615</v>
      </c>
      <c r="C16" s="17" t="s">
        <v>616</v>
      </c>
      <c r="D16" s="18">
        <v>0.0</v>
      </c>
      <c r="E16" s="18">
        <v>20.0</v>
      </c>
      <c r="F16" s="17">
        <v>0.0</v>
      </c>
      <c r="G16" s="17">
        <v>0.0</v>
      </c>
      <c r="H16" s="17">
        <f t="shared" ref="H16:H22" si="3">SUM(D16:G16)</f>
        <v>20</v>
      </c>
      <c r="I16" s="17">
        <v>20.0</v>
      </c>
      <c r="J16" s="34">
        <f t="shared" ref="J16:J22" si="4">H16/I16</f>
        <v>1</v>
      </c>
      <c r="K16" s="18" t="s">
        <v>617</v>
      </c>
      <c r="L16" s="96" t="s">
        <v>618</v>
      </c>
      <c r="M16" s="96" t="s">
        <v>619</v>
      </c>
      <c r="N16" s="86"/>
      <c r="O16" s="86"/>
    </row>
    <row r="17" ht="33.75" customHeight="1">
      <c r="A17" s="38" t="s">
        <v>620</v>
      </c>
      <c r="B17" s="17" t="s">
        <v>621</v>
      </c>
      <c r="C17" s="17" t="s">
        <v>622</v>
      </c>
      <c r="D17" s="18">
        <v>0.0</v>
      </c>
      <c r="E17" s="18">
        <v>30.0</v>
      </c>
      <c r="F17" s="17">
        <v>0.0</v>
      </c>
      <c r="G17" s="17">
        <v>0.0</v>
      </c>
      <c r="H17" s="17">
        <f t="shared" si="3"/>
        <v>30</v>
      </c>
      <c r="I17" s="18">
        <v>25.0</v>
      </c>
      <c r="J17" s="34">
        <f t="shared" si="4"/>
        <v>1.2</v>
      </c>
      <c r="K17" s="17" t="s">
        <v>623</v>
      </c>
      <c r="L17" s="99" t="s">
        <v>624</v>
      </c>
      <c r="M17" s="57" t="s">
        <v>625</v>
      </c>
      <c r="N17" s="100"/>
      <c r="O17" s="101"/>
    </row>
    <row r="18" ht="33.75" customHeight="1">
      <c r="A18" s="38" t="s">
        <v>626</v>
      </c>
      <c r="B18" s="17" t="s">
        <v>627</v>
      </c>
      <c r="C18" s="17"/>
      <c r="D18" s="17">
        <v>0.0</v>
      </c>
      <c r="E18" s="17">
        <v>0.0</v>
      </c>
      <c r="F18" s="17">
        <v>0.0</v>
      </c>
      <c r="G18" s="17">
        <v>0.0</v>
      </c>
      <c r="H18" s="17">
        <f t="shared" si="3"/>
        <v>0</v>
      </c>
      <c r="I18" s="18">
        <v>5.0</v>
      </c>
      <c r="J18" s="34">
        <f t="shared" si="4"/>
        <v>0</v>
      </c>
      <c r="K18" s="17" t="s">
        <v>628</v>
      </c>
      <c r="L18" s="102" t="s">
        <v>629</v>
      </c>
      <c r="M18" s="57" t="s">
        <v>630</v>
      </c>
      <c r="N18" s="100"/>
      <c r="O18" s="101"/>
    </row>
    <row r="19" ht="33.75" customHeight="1">
      <c r="A19" s="17" t="s">
        <v>631</v>
      </c>
      <c r="B19" s="17" t="s">
        <v>632</v>
      </c>
      <c r="C19" s="17" t="s">
        <v>633</v>
      </c>
      <c r="D19" s="18">
        <v>36.0</v>
      </c>
      <c r="E19" s="17">
        <v>0.0</v>
      </c>
      <c r="F19" s="17">
        <v>0.0</v>
      </c>
      <c r="G19" s="17">
        <v>0.0</v>
      </c>
      <c r="H19" s="17">
        <f t="shared" si="3"/>
        <v>36</v>
      </c>
      <c r="I19" s="17">
        <v>25.0</v>
      </c>
      <c r="J19" s="34">
        <f t="shared" si="4"/>
        <v>1.44</v>
      </c>
      <c r="K19" s="18" t="s">
        <v>634</v>
      </c>
      <c r="L19" s="102" t="s">
        <v>635</v>
      </c>
      <c r="M19" s="57" t="s">
        <v>636</v>
      </c>
      <c r="N19" s="100"/>
      <c r="O19" s="101"/>
    </row>
    <row r="20" ht="33.75" customHeight="1">
      <c r="A20" s="38" t="s">
        <v>637</v>
      </c>
      <c r="B20" s="38" t="s">
        <v>638</v>
      </c>
      <c r="C20" s="38" t="s">
        <v>639</v>
      </c>
      <c r="D20" s="17">
        <v>0.0</v>
      </c>
      <c r="E20" s="18">
        <v>3.0</v>
      </c>
      <c r="F20" s="17">
        <v>0.0</v>
      </c>
      <c r="G20" s="17">
        <v>0.0</v>
      </c>
      <c r="H20" s="17">
        <f t="shared" si="3"/>
        <v>3</v>
      </c>
      <c r="I20" s="17">
        <v>3.0</v>
      </c>
      <c r="J20" s="34">
        <f t="shared" si="4"/>
        <v>1</v>
      </c>
      <c r="K20" s="17" t="s">
        <v>640</v>
      </c>
      <c r="L20" s="102" t="s">
        <v>641</v>
      </c>
      <c r="M20" s="57" t="s">
        <v>642</v>
      </c>
      <c r="N20" s="100"/>
      <c r="O20" s="101"/>
    </row>
    <row r="21" ht="33.75" customHeight="1">
      <c r="A21" s="38" t="s">
        <v>643</v>
      </c>
      <c r="B21" s="38" t="s">
        <v>638</v>
      </c>
      <c r="C21" s="38" t="s">
        <v>639</v>
      </c>
      <c r="D21" s="17">
        <v>0.0</v>
      </c>
      <c r="E21" s="17">
        <v>0.0</v>
      </c>
      <c r="F21" s="17">
        <v>0.0</v>
      </c>
      <c r="G21" s="17">
        <v>0.0</v>
      </c>
      <c r="H21" s="17">
        <f t="shared" si="3"/>
        <v>0</v>
      </c>
      <c r="I21" s="17">
        <v>2.0</v>
      </c>
      <c r="J21" s="34">
        <f t="shared" si="4"/>
        <v>0</v>
      </c>
      <c r="K21" s="17" t="s">
        <v>644</v>
      </c>
      <c r="L21" s="102" t="s">
        <v>645</v>
      </c>
      <c r="M21" s="103" t="s">
        <v>646</v>
      </c>
      <c r="N21" s="100"/>
      <c r="O21" s="101"/>
    </row>
    <row r="22" ht="33.75" customHeight="1">
      <c r="A22" s="38" t="s">
        <v>647</v>
      </c>
      <c r="B22" s="38" t="s">
        <v>638</v>
      </c>
      <c r="C22" s="38" t="s">
        <v>639</v>
      </c>
      <c r="D22" s="18">
        <v>5.0</v>
      </c>
      <c r="E22" s="17">
        <v>0.0</v>
      </c>
      <c r="F22" s="17">
        <v>0.0</v>
      </c>
      <c r="G22" s="17">
        <v>0.0</v>
      </c>
      <c r="H22" s="17">
        <f t="shared" si="3"/>
        <v>5</v>
      </c>
      <c r="I22" s="17">
        <v>5.0</v>
      </c>
      <c r="J22" s="34">
        <f t="shared" si="4"/>
        <v>1</v>
      </c>
      <c r="K22" s="17" t="s">
        <v>648</v>
      </c>
      <c r="L22" s="102" t="s">
        <v>649</v>
      </c>
      <c r="M22" s="102" t="s">
        <v>650</v>
      </c>
      <c r="N22" s="101"/>
      <c r="O22" s="101"/>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sheetData>
  <mergeCells count="1">
    <mergeCell ref="A1:K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63"/>
    <col customWidth="1" min="2" max="2" width="43.0"/>
    <col customWidth="1" min="3" max="3" width="9.75"/>
    <col customWidth="1" min="4" max="6" width="9.13"/>
    <col customWidth="1" min="7" max="9" width="9.88"/>
    <col customWidth="1" min="10" max="10" width="10.88"/>
    <col customWidth="1" min="11" max="11" width="31.5"/>
    <col customWidth="1" min="12" max="12" width="31.88"/>
    <col customWidth="1" min="13" max="13" width="23.5"/>
    <col customWidth="1" min="14" max="14" width="22.13"/>
    <col customWidth="1" min="15" max="15" width="21.88"/>
    <col customWidth="1" min="16" max="26" width="10.63"/>
  </cols>
  <sheetData>
    <row r="1" ht="32.25" customHeight="1">
      <c r="A1" s="1" t="s">
        <v>651</v>
      </c>
      <c r="B1" s="2"/>
      <c r="C1" s="2"/>
      <c r="D1" s="2"/>
      <c r="E1" s="2"/>
      <c r="F1" s="2"/>
      <c r="G1" s="2"/>
      <c r="H1" s="2"/>
      <c r="I1" s="2"/>
      <c r="J1" s="2"/>
      <c r="K1" s="2"/>
      <c r="L1" s="27"/>
      <c r="M1" s="27"/>
      <c r="N1" s="27"/>
      <c r="O1" s="28"/>
    </row>
    <row r="2" ht="14.25" customHeight="1"/>
    <row r="3" ht="14.25" customHeight="1">
      <c r="A3" s="29" t="s">
        <v>1</v>
      </c>
      <c r="B3" s="30"/>
      <c r="C3" s="30"/>
      <c r="D3" s="30"/>
      <c r="E3" s="30"/>
      <c r="F3" s="30"/>
      <c r="G3" s="30"/>
      <c r="H3" s="30"/>
      <c r="I3" s="30"/>
      <c r="J3" s="30"/>
      <c r="K3" s="30"/>
      <c r="L3" s="31"/>
      <c r="M3" s="31"/>
      <c r="N3" s="31"/>
      <c r="O3" s="31"/>
    </row>
    <row r="4" ht="53.25" customHeight="1">
      <c r="A4" s="11" t="s">
        <v>2</v>
      </c>
      <c r="B4" s="11" t="s">
        <v>3</v>
      </c>
      <c r="C4" s="11" t="s">
        <v>4</v>
      </c>
      <c r="D4" s="11" t="s">
        <v>652</v>
      </c>
      <c r="E4" s="11" t="s">
        <v>653</v>
      </c>
      <c r="F4" s="11" t="s">
        <v>654</v>
      </c>
      <c r="G4" s="11" t="s">
        <v>655</v>
      </c>
      <c r="H4" s="11" t="s">
        <v>9</v>
      </c>
      <c r="I4" s="11" t="s">
        <v>10</v>
      </c>
      <c r="J4" s="61" t="s">
        <v>197</v>
      </c>
      <c r="K4" s="11" t="s">
        <v>12</v>
      </c>
      <c r="L4" s="11" t="s">
        <v>656</v>
      </c>
      <c r="M4" s="11" t="s">
        <v>657</v>
      </c>
      <c r="N4" s="11" t="s">
        <v>658</v>
      </c>
      <c r="O4" s="11" t="s">
        <v>659</v>
      </c>
    </row>
    <row r="5" ht="53.25" customHeight="1">
      <c r="A5" s="104" t="s">
        <v>660</v>
      </c>
      <c r="B5" s="17" t="s">
        <v>661</v>
      </c>
      <c r="C5" s="17">
        <v>0.0</v>
      </c>
      <c r="D5" s="17">
        <v>0.0</v>
      </c>
      <c r="E5" s="18">
        <v>28.0</v>
      </c>
      <c r="F5" s="17">
        <v>0.0</v>
      </c>
      <c r="G5" s="17">
        <v>0.0</v>
      </c>
      <c r="H5" s="17">
        <f>+D5+E5+F5+G5</f>
        <v>28</v>
      </c>
      <c r="I5" s="17">
        <v>28.0</v>
      </c>
      <c r="J5" s="34">
        <f t="shared" ref="J5:J10" si="1">H5/I5</f>
        <v>1</v>
      </c>
      <c r="K5" s="17" t="s">
        <v>662</v>
      </c>
      <c r="L5" s="17"/>
      <c r="M5" s="17"/>
      <c r="N5" s="17"/>
      <c r="O5" s="17"/>
    </row>
    <row r="6" ht="53.25" customHeight="1">
      <c r="A6" s="104" t="s">
        <v>660</v>
      </c>
      <c r="B6" s="18" t="s">
        <v>663</v>
      </c>
      <c r="C6" s="17">
        <v>0.0</v>
      </c>
      <c r="D6" s="19">
        <f>2/12</f>
        <v>0.1666666667</v>
      </c>
      <c r="E6" s="105">
        <v>0.3</v>
      </c>
      <c r="F6" s="17">
        <v>0.0</v>
      </c>
      <c r="G6" s="17">
        <v>0.0</v>
      </c>
      <c r="H6" s="58">
        <f>(+D6+E6+F6+G6)</f>
        <v>0.4666666667</v>
      </c>
      <c r="I6" s="19">
        <v>0.3</v>
      </c>
      <c r="J6" s="58">
        <f t="shared" si="1"/>
        <v>1.555555556</v>
      </c>
      <c r="K6" s="17" t="s">
        <v>664</v>
      </c>
      <c r="L6" s="17"/>
      <c r="M6" s="18" t="s">
        <v>665</v>
      </c>
      <c r="N6" s="17"/>
      <c r="O6" s="17"/>
    </row>
    <row r="7" ht="53.25" customHeight="1">
      <c r="A7" s="104" t="s">
        <v>660</v>
      </c>
      <c r="B7" s="17" t="s">
        <v>666</v>
      </c>
      <c r="C7" s="17">
        <v>0.0</v>
      </c>
      <c r="D7" s="18">
        <v>23.0</v>
      </c>
      <c r="E7" s="18">
        <v>54.0</v>
      </c>
      <c r="F7" s="18"/>
      <c r="G7" s="18"/>
      <c r="H7" s="17"/>
      <c r="I7" s="17">
        <v>40.0</v>
      </c>
      <c r="J7" s="34">
        <f t="shared" si="1"/>
        <v>0</v>
      </c>
      <c r="K7" s="17" t="s">
        <v>667</v>
      </c>
      <c r="L7" s="18" t="s">
        <v>668</v>
      </c>
      <c r="M7" s="18" t="s">
        <v>669</v>
      </c>
      <c r="N7" s="17"/>
      <c r="O7" s="17"/>
    </row>
    <row r="8" ht="53.25" customHeight="1">
      <c r="A8" s="106" t="s">
        <v>670</v>
      </c>
      <c r="B8" s="18" t="s">
        <v>671</v>
      </c>
      <c r="C8" s="17">
        <v>0.0</v>
      </c>
      <c r="D8" s="17">
        <v>0.0</v>
      </c>
      <c r="E8" s="17">
        <v>0.0</v>
      </c>
      <c r="F8" s="17">
        <v>0.0</v>
      </c>
      <c r="G8" s="17">
        <v>0.0</v>
      </c>
      <c r="H8" s="17">
        <f t="shared" ref="H8:H10" si="2">+D8+E8+F8+G8</f>
        <v>0</v>
      </c>
      <c r="I8" s="17">
        <v>30.0</v>
      </c>
      <c r="J8" s="34">
        <f t="shared" si="1"/>
        <v>0</v>
      </c>
      <c r="K8" s="17" t="s">
        <v>672</v>
      </c>
      <c r="L8" s="18" t="s">
        <v>673</v>
      </c>
      <c r="M8" s="18" t="s">
        <v>673</v>
      </c>
      <c r="N8" s="17"/>
      <c r="O8" s="17"/>
    </row>
    <row r="9" ht="53.25" customHeight="1">
      <c r="A9" s="106" t="s">
        <v>670</v>
      </c>
      <c r="B9" s="17" t="s">
        <v>674</v>
      </c>
      <c r="C9" s="17">
        <v>0.0</v>
      </c>
      <c r="D9" s="17">
        <v>0.0</v>
      </c>
      <c r="E9" s="18">
        <v>1.0</v>
      </c>
      <c r="F9" s="17">
        <v>0.0</v>
      </c>
      <c r="G9" s="17">
        <v>0.0</v>
      </c>
      <c r="H9" s="17">
        <f t="shared" si="2"/>
        <v>1</v>
      </c>
      <c r="I9" s="17">
        <v>3.0</v>
      </c>
      <c r="J9" s="34">
        <f t="shared" si="1"/>
        <v>0.3333333333</v>
      </c>
      <c r="K9" s="17" t="s">
        <v>675</v>
      </c>
      <c r="L9" s="18" t="s">
        <v>676</v>
      </c>
      <c r="M9" s="18" t="s">
        <v>677</v>
      </c>
      <c r="N9" s="17"/>
      <c r="O9" s="17"/>
    </row>
    <row r="10" ht="53.25" customHeight="1">
      <c r="A10" s="106" t="s">
        <v>670</v>
      </c>
      <c r="B10" s="107" t="s">
        <v>678</v>
      </c>
      <c r="C10" s="17">
        <v>0.0</v>
      </c>
      <c r="D10" s="17">
        <v>0.0</v>
      </c>
      <c r="E10" s="18">
        <v>0.0</v>
      </c>
      <c r="F10" s="17">
        <v>0.0</v>
      </c>
      <c r="G10" s="17">
        <v>0.0</v>
      </c>
      <c r="H10" s="17">
        <f t="shared" si="2"/>
        <v>0</v>
      </c>
      <c r="I10" s="18">
        <v>3.0</v>
      </c>
      <c r="J10" s="34">
        <f t="shared" si="1"/>
        <v>0</v>
      </c>
      <c r="K10" s="18" t="s">
        <v>679</v>
      </c>
      <c r="L10" s="18"/>
      <c r="M10" s="18" t="s">
        <v>680</v>
      </c>
      <c r="N10" s="17"/>
      <c r="O10" s="17"/>
    </row>
    <row r="11" ht="53.25" customHeight="1"/>
    <row r="12" ht="53.25" customHeight="1">
      <c r="A12" s="29" t="s">
        <v>53</v>
      </c>
      <c r="B12" s="30"/>
      <c r="C12" s="30"/>
      <c r="D12" s="30"/>
      <c r="E12" s="30"/>
      <c r="F12" s="30"/>
      <c r="G12" s="30"/>
      <c r="H12" s="30"/>
      <c r="I12" s="30"/>
      <c r="J12" s="30"/>
      <c r="K12" s="30"/>
      <c r="L12" s="31"/>
      <c r="M12" s="31"/>
      <c r="N12" s="31"/>
      <c r="O12" s="31"/>
    </row>
    <row r="13" ht="53.25" customHeight="1">
      <c r="A13" s="11" t="s">
        <v>2</v>
      </c>
      <c r="B13" s="11" t="s">
        <v>3</v>
      </c>
      <c r="C13" s="11" t="s">
        <v>4</v>
      </c>
      <c r="D13" s="11" t="s">
        <v>681</v>
      </c>
      <c r="E13" s="11" t="s">
        <v>682</v>
      </c>
      <c r="F13" s="11" t="s">
        <v>683</v>
      </c>
      <c r="G13" s="11" t="s">
        <v>684</v>
      </c>
      <c r="H13" s="11" t="s">
        <v>9</v>
      </c>
      <c r="I13" s="11" t="s">
        <v>10</v>
      </c>
      <c r="J13" s="61" t="s">
        <v>197</v>
      </c>
      <c r="K13" s="11" t="s">
        <v>12</v>
      </c>
      <c r="L13" s="11" t="s">
        <v>685</v>
      </c>
      <c r="M13" s="11" t="s">
        <v>686</v>
      </c>
      <c r="N13" s="11" t="s">
        <v>687</v>
      </c>
      <c r="O13" s="11" t="s">
        <v>688</v>
      </c>
    </row>
    <row r="14" ht="53.25" customHeight="1">
      <c r="A14" s="17" t="s">
        <v>689</v>
      </c>
      <c r="B14" s="17" t="s">
        <v>690</v>
      </c>
      <c r="C14" s="17">
        <v>0.0</v>
      </c>
      <c r="D14" s="17">
        <v>0.0</v>
      </c>
      <c r="E14" s="17">
        <v>0.0</v>
      </c>
      <c r="F14" s="17">
        <v>0.0</v>
      </c>
      <c r="G14" s="17">
        <v>0.0</v>
      </c>
      <c r="H14" s="17">
        <f t="shared" ref="H14:H21" si="3">+D14+E14+F14+G14</f>
        <v>0</v>
      </c>
      <c r="I14" s="17">
        <v>28.0</v>
      </c>
      <c r="J14" s="34">
        <f t="shared" ref="J14:J21" si="4">H14/I14</f>
        <v>0</v>
      </c>
      <c r="K14" s="17" t="s">
        <v>691</v>
      </c>
      <c r="L14" s="18" t="s">
        <v>692</v>
      </c>
      <c r="M14" s="17"/>
      <c r="N14" s="17"/>
      <c r="O14" s="17"/>
    </row>
    <row r="15" ht="53.25" customHeight="1">
      <c r="A15" s="108" t="s">
        <v>693</v>
      </c>
      <c r="B15" s="17" t="s">
        <v>694</v>
      </c>
      <c r="C15" s="17">
        <v>0.0</v>
      </c>
      <c r="D15" s="18">
        <v>1.0</v>
      </c>
      <c r="E15" s="18">
        <v>3.0</v>
      </c>
      <c r="F15" s="18"/>
      <c r="G15" s="18"/>
      <c r="H15" s="17">
        <f t="shared" si="3"/>
        <v>4</v>
      </c>
      <c r="I15" s="17">
        <v>10.0</v>
      </c>
      <c r="J15" s="34">
        <f t="shared" si="4"/>
        <v>0.4</v>
      </c>
      <c r="K15" s="17" t="s">
        <v>695</v>
      </c>
      <c r="L15" s="18" t="s">
        <v>696</v>
      </c>
      <c r="M15" s="18" t="s">
        <v>697</v>
      </c>
      <c r="N15" s="17"/>
      <c r="O15" s="17"/>
    </row>
    <row r="16" ht="53.25" customHeight="1">
      <c r="A16" s="108" t="s">
        <v>693</v>
      </c>
      <c r="B16" s="107" t="s">
        <v>698</v>
      </c>
      <c r="C16" s="17"/>
      <c r="D16" s="18">
        <v>1.0</v>
      </c>
      <c r="E16" s="17"/>
      <c r="F16" s="17"/>
      <c r="G16" s="17"/>
      <c r="H16" s="17">
        <f t="shared" si="3"/>
        <v>1</v>
      </c>
      <c r="I16" s="18">
        <v>2.0</v>
      </c>
      <c r="J16" s="34">
        <f t="shared" si="4"/>
        <v>0.5</v>
      </c>
      <c r="K16" s="17"/>
      <c r="L16" s="18"/>
      <c r="M16" s="17"/>
      <c r="N16" s="17"/>
      <c r="O16" s="17"/>
    </row>
    <row r="17" ht="53.25" customHeight="1">
      <c r="A17" s="108" t="s">
        <v>693</v>
      </c>
      <c r="B17" s="17" t="s">
        <v>699</v>
      </c>
      <c r="C17" s="17">
        <v>0.0</v>
      </c>
      <c r="D17" s="17">
        <v>0.0</v>
      </c>
      <c r="E17" s="17">
        <v>0.0</v>
      </c>
      <c r="F17" s="17">
        <v>0.0</v>
      </c>
      <c r="G17" s="17">
        <v>0.0</v>
      </c>
      <c r="H17" s="17">
        <f t="shared" si="3"/>
        <v>0</v>
      </c>
      <c r="I17" s="17">
        <v>32.0</v>
      </c>
      <c r="J17" s="34">
        <f t="shared" si="4"/>
        <v>0</v>
      </c>
      <c r="K17" s="17" t="s">
        <v>700</v>
      </c>
      <c r="L17" s="18" t="s">
        <v>701</v>
      </c>
      <c r="M17" s="18" t="s">
        <v>702</v>
      </c>
      <c r="N17" s="17"/>
      <c r="O17" s="17"/>
    </row>
    <row r="18" ht="53.25" customHeight="1">
      <c r="A18" s="17" t="s">
        <v>703</v>
      </c>
      <c r="B18" s="17" t="s">
        <v>704</v>
      </c>
      <c r="C18" s="17">
        <v>0.0</v>
      </c>
      <c r="D18" s="17">
        <v>0.0</v>
      </c>
      <c r="E18" s="17">
        <v>0.0</v>
      </c>
      <c r="F18" s="17">
        <v>0.0</v>
      </c>
      <c r="G18" s="17">
        <v>0.0</v>
      </c>
      <c r="H18" s="17">
        <f t="shared" si="3"/>
        <v>0</v>
      </c>
      <c r="I18" s="17">
        <v>32.0</v>
      </c>
      <c r="J18" s="34">
        <f t="shared" si="4"/>
        <v>0</v>
      </c>
      <c r="K18" s="17" t="s">
        <v>705</v>
      </c>
      <c r="L18" s="18" t="s">
        <v>706</v>
      </c>
      <c r="M18" s="18" t="s">
        <v>707</v>
      </c>
      <c r="N18" s="17"/>
      <c r="O18" s="17"/>
    </row>
    <row r="19" ht="53.25" customHeight="1">
      <c r="A19" s="17" t="s">
        <v>708</v>
      </c>
      <c r="B19" s="18" t="s">
        <v>709</v>
      </c>
      <c r="C19" s="17">
        <v>0.0</v>
      </c>
      <c r="D19" s="17">
        <v>0.0</v>
      </c>
      <c r="E19" s="17">
        <v>0.0</v>
      </c>
      <c r="F19" s="17">
        <v>0.0</v>
      </c>
      <c r="G19" s="17">
        <v>0.0</v>
      </c>
      <c r="H19" s="17">
        <f t="shared" si="3"/>
        <v>0</v>
      </c>
      <c r="I19" s="17">
        <v>3.0</v>
      </c>
      <c r="J19" s="34">
        <f t="shared" si="4"/>
        <v>0</v>
      </c>
      <c r="K19" s="17" t="s">
        <v>710</v>
      </c>
      <c r="L19" s="18" t="s">
        <v>711</v>
      </c>
      <c r="M19" s="18" t="s">
        <v>712</v>
      </c>
      <c r="N19" s="17"/>
      <c r="O19" s="17"/>
    </row>
    <row r="20" ht="53.25" customHeight="1">
      <c r="A20" s="17" t="s">
        <v>713</v>
      </c>
      <c r="B20" s="17" t="s">
        <v>713</v>
      </c>
      <c r="C20" s="17">
        <v>0.0</v>
      </c>
      <c r="D20" s="17">
        <v>0.0</v>
      </c>
      <c r="E20" s="17">
        <v>0.0</v>
      </c>
      <c r="F20" s="17">
        <v>0.0</v>
      </c>
      <c r="G20" s="17">
        <v>0.0</v>
      </c>
      <c r="H20" s="17">
        <f t="shared" si="3"/>
        <v>0</v>
      </c>
      <c r="I20" s="17">
        <v>3.0</v>
      </c>
      <c r="J20" s="34">
        <f t="shared" si="4"/>
        <v>0</v>
      </c>
      <c r="K20" s="17" t="s">
        <v>714</v>
      </c>
      <c r="L20" s="18" t="s">
        <v>715</v>
      </c>
      <c r="M20" s="18" t="s">
        <v>716</v>
      </c>
      <c r="N20" s="17"/>
      <c r="O20" s="17"/>
    </row>
    <row r="21" ht="53.25" customHeight="1">
      <c r="A21" s="20" t="s">
        <v>717</v>
      </c>
      <c r="B21" s="17" t="s">
        <v>718</v>
      </c>
      <c r="C21" s="17">
        <v>0.0</v>
      </c>
      <c r="D21" s="17">
        <v>0.0</v>
      </c>
      <c r="E21" s="18">
        <v>925.0</v>
      </c>
      <c r="F21" s="17">
        <v>0.0</v>
      </c>
      <c r="G21" s="17">
        <v>0.0</v>
      </c>
      <c r="H21" s="17">
        <f t="shared" si="3"/>
        <v>925</v>
      </c>
      <c r="I21" s="17">
        <v>3000.0</v>
      </c>
      <c r="J21" s="34">
        <f t="shared" si="4"/>
        <v>0.3083333333</v>
      </c>
      <c r="K21" s="17" t="s">
        <v>719</v>
      </c>
      <c r="L21" s="109" t="s">
        <v>720</v>
      </c>
      <c r="M21" s="18" t="s">
        <v>721</v>
      </c>
      <c r="N21" s="17"/>
      <c r="O21" s="17"/>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
    <mergeCell ref="A1:K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9.5"/>
    <col customWidth="1" min="2" max="2" width="43.0"/>
    <col customWidth="1" min="3" max="3" width="19.88"/>
    <col customWidth="1" min="4" max="6" width="9.13"/>
    <col customWidth="1" min="7" max="9" width="9.88"/>
    <col customWidth="1" min="10" max="10" width="14.63"/>
    <col customWidth="1" min="11" max="11" width="31.5"/>
    <col customWidth="1" min="12" max="12" width="20.5"/>
    <col customWidth="1" min="13" max="13" width="33.0"/>
    <col customWidth="1" min="14" max="14" width="22.13"/>
    <col customWidth="1" min="15" max="15" width="21.88"/>
    <col customWidth="1" min="16" max="26" width="10.63"/>
  </cols>
  <sheetData>
    <row r="1" ht="32.25" customHeight="1">
      <c r="A1" s="1" t="s">
        <v>722</v>
      </c>
      <c r="B1" s="2"/>
      <c r="C1" s="2"/>
      <c r="D1" s="2"/>
      <c r="E1" s="2"/>
      <c r="F1" s="2"/>
      <c r="G1" s="2"/>
      <c r="H1" s="2"/>
      <c r="I1" s="2"/>
      <c r="J1" s="2"/>
      <c r="K1" s="2"/>
      <c r="L1" s="27"/>
      <c r="M1" s="27"/>
      <c r="N1" s="27"/>
      <c r="O1" s="28"/>
    </row>
    <row r="2" ht="14.25" customHeight="1"/>
    <row r="3" ht="14.25" customHeight="1">
      <c r="A3" s="29" t="s">
        <v>1</v>
      </c>
      <c r="B3" s="30"/>
      <c r="C3" s="30"/>
      <c r="D3" s="30"/>
      <c r="E3" s="30"/>
      <c r="F3" s="30"/>
      <c r="G3" s="30"/>
      <c r="H3" s="30"/>
      <c r="I3" s="30"/>
      <c r="J3" s="30"/>
      <c r="K3" s="30"/>
      <c r="L3" s="31"/>
      <c r="M3" s="31"/>
      <c r="N3" s="31"/>
      <c r="O3" s="31"/>
    </row>
    <row r="4" ht="99.75" customHeight="1">
      <c r="A4" s="11" t="s">
        <v>2</v>
      </c>
      <c r="B4" s="11" t="s">
        <v>3</v>
      </c>
      <c r="C4" s="11" t="s">
        <v>4</v>
      </c>
      <c r="D4" s="11" t="s">
        <v>723</v>
      </c>
      <c r="E4" s="11" t="s">
        <v>724</v>
      </c>
      <c r="F4" s="11" t="s">
        <v>725</v>
      </c>
      <c r="G4" s="11" t="s">
        <v>726</v>
      </c>
      <c r="H4" s="11" t="s">
        <v>9</v>
      </c>
      <c r="I4" s="11" t="s">
        <v>10</v>
      </c>
      <c r="J4" s="56" t="s">
        <v>301</v>
      </c>
      <c r="K4" s="11" t="s">
        <v>12</v>
      </c>
      <c r="L4" s="11" t="s">
        <v>727</v>
      </c>
      <c r="M4" s="11" t="s">
        <v>728</v>
      </c>
      <c r="N4" s="11" t="s">
        <v>729</v>
      </c>
      <c r="O4" s="11" t="s">
        <v>730</v>
      </c>
    </row>
    <row r="5" ht="99.75" customHeight="1">
      <c r="A5" s="20" t="s">
        <v>731</v>
      </c>
      <c r="B5" s="20" t="s">
        <v>732</v>
      </c>
      <c r="C5" s="20" t="s">
        <v>733</v>
      </c>
      <c r="D5" s="110">
        <v>0.0</v>
      </c>
      <c r="E5" s="18">
        <v>25.0</v>
      </c>
      <c r="F5" s="17">
        <v>0.0</v>
      </c>
      <c r="G5" s="17">
        <v>0.0</v>
      </c>
      <c r="H5" s="17">
        <f t="shared" ref="H5:H14" si="1">+D5+E5+F5+G5</f>
        <v>25</v>
      </c>
      <c r="I5" s="18">
        <v>66.0</v>
      </c>
      <c r="J5" s="34">
        <f t="shared" ref="J5:J14" si="2">H5/I5</f>
        <v>0.3787878788</v>
      </c>
      <c r="K5" s="17" t="s">
        <v>734</v>
      </c>
      <c r="L5" s="18" t="s">
        <v>735</v>
      </c>
      <c r="M5" s="18" t="s">
        <v>736</v>
      </c>
      <c r="N5" s="18"/>
      <c r="O5" s="17"/>
    </row>
    <row r="6" ht="99.75" customHeight="1">
      <c r="A6" s="20" t="s">
        <v>737</v>
      </c>
      <c r="B6" s="20" t="s">
        <v>732</v>
      </c>
      <c r="C6" s="20" t="s">
        <v>738</v>
      </c>
      <c r="D6" s="73">
        <v>0.0</v>
      </c>
      <c r="E6" s="18">
        <v>10.0</v>
      </c>
      <c r="F6" s="50"/>
      <c r="G6" s="17">
        <v>0.0</v>
      </c>
      <c r="H6" s="17">
        <f t="shared" si="1"/>
        <v>10</v>
      </c>
      <c r="I6" s="17">
        <v>30.0</v>
      </c>
      <c r="J6" s="34">
        <f t="shared" si="2"/>
        <v>0.3333333333</v>
      </c>
      <c r="K6" s="17" t="s">
        <v>739</v>
      </c>
      <c r="L6" s="111" t="s">
        <v>740</v>
      </c>
      <c r="M6" s="18" t="s">
        <v>741</v>
      </c>
      <c r="N6" s="17"/>
      <c r="O6" s="17"/>
    </row>
    <row r="7" ht="99.75" customHeight="1">
      <c r="A7" s="20" t="s">
        <v>742</v>
      </c>
      <c r="B7" s="17" t="s">
        <v>743</v>
      </c>
      <c r="C7" s="17" t="s">
        <v>744</v>
      </c>
      <c r="D7" s="112">
        <v>0.0</v>
      </c>
      <c r="E7" s="19">
        <v>0.03</v>
      </c>
      <c r="F7" s="17">
        <v>0.0</v>
      </c>
      <c r="G7" s="17">
        <v>0.0</v>
      </c>
      <c r="H7" s="58">
        <f t="shared" si="1"/>
        <v>0.03</v>
      </c>
      <c r="I7" s="58">
        <v>0.25</v>
      </c>
      <c r="J7" s="34">
        <f t="shared" si="2"/>
        <v>0.12</v>
      </c>
      <c r="K7" s="113" t="s">
        <v>745</v>
      </c>
      <c r="L7" s="18" t="s">
        <v>746</v>
      </c>
      <c r="M7" s="18" t="s">
        <v>747</v>
      </c>
      <c r="N7" s="17"/>
      <c r="O7" s="17"/>
    </row>
    <row r="8" ht="99.75" customHeight="1">
      <c r="A8" s="20" t="s">
        <v>748</v>
      </c>
      <c r="B8" s="17" t="s">
        <v>749</v>
      </c>
      <c r="C8" s="17" t="s">
        <v>750</v>
      </c>
      <c r="D8" s="72">
        <v>0.0</v>
      </c>
      <c r="E8" s="18">
        <v>17.5</v>
      </c>
      <c r="F8" s="17">
        <v>0.0</v>
      </c>
      <c r="G8" s="17">
        <v>0.0</v>
      </c>
      <c r="H8" s="17">
        <f t="shared" si="1"/>
        <v>17.5</v>
      </c>
      <c r="I8" s="17">
        <v>35.0</v>
      </c>
      <c r="J8" s="34">
        <f t="shared" si="2"/>
        <v>0.5</v>
      </c>
      <c r="K8" s="17" t="s">
        <v>751</v>
      </c>
      <c r="L8" s="18" t="s">
        <v>752</v>
      </c>
      <c r="M8" s="18" t="s">
        <v>753</v>
      </c>
      <c r="N8" s="17"/>
      <c r="O8" s="17"/>
    </row>
    <row r="9" ht="99.75" customHeight="1">
      <c r="A9" s="16" t="s">
        <v>754</v>
      </c>
      <c r="B9" s="73" t="s">
        <v>755</v>
      </c>
      <c r="C9" s="72" t="s">
        <v>756</v>
      </c>
      <c r="D9" s="73">
        <v>0.0</v>
      </c>
      <c r="E9" s="73">
        <v>10.0</v>
      </c>
      <c r="F9" s="73">
        <v>0.0</v>
      </c>
      <c r="G9" s="72">
        <v>0.0</v>
      </c>
      <c r="H9" s="72">
        <f t="shared" si="1"/>
        <v>10</v>
      </c>
      <c r="I9" s="72">
        <v>10.0</v>
      </c>
      <c r="J9" s="34">
        <f t="shared" si="2"/>
        <v>1</v>
      </c>
      <c r="K9" s="73" t="s">
        <v>757</v>
      </c>
      <c r="L9" s="18" t="s">
        <v>758</v>
      </c>
      <c r="M9" s="18" t="s">
        <v>759</v>
      </c>
      <c r="N9" s="17"/>
      <c r="O9" s="17"/>
    </row>
    <row r="10" ht="99.75" customHeight="1">
      <c r="A10" s="16" t="s">
        <v>760</v>
      </c>
      <c r="B10" s="17" t="s">
        <v>761</v>
      </c>
      <c r="C10" s="72" t="s">
        <v>762</v>
      </c>
      <c r="D10" s="73"/>
      <c r="E10" s="73">
        <v>5.0</v>
      </c>
      <c r="F10" s="72">
        <v>0.0</v>
      </c>
      <c r="G10" s="72">
        <v>0.0</v>
      </c>
      <c r="H10" s="72">
        <f t="shared" si="1"/>
        <v>5</v>
      </c>
      <c r="I10" s="72">
        <v>10.0</v>
      </c>
      <c r="J10" s="34">
        <f t="shared" si="2"/>
        <v>0.5</v>
      </c>
      <c r="K10" s="113" t="s">
        <v>763</v>
      </c>
      <c r="L10" s="18" t="s">
        <v>764</v>
      </c>
      <c r="M10" s="18" t="s">
        <v>765</v>
      </c>
      <c r="N10" s="17"/>
      <c r="O10" s="17"/>
    </row>
    <row r="11" ht="99.75" customHeight="1">
      <c r="A11" s="16" t="s">
        <v>766</v>
      </c>
      <c r="B11" s="17" t="s">
        <v>767</v>
      </c>
      <c r="C11" s="17" t="s">
        <v>768</v>
      </c>
      <c r="D11" s="73">
        <v>0.0</v>
      </c>
      <c r="E11" s="18">
        <v>5.0</v>
      </c>
      <c r="F11" s="17">
        <v>0.0</v>
      </c>
      <c r="G11" s="17">
        <v>0.0</v>
      </c>
      <c r="H11" s="17">
        <f t="shared" si="1"/>
        <v>5</v>
      </c>
      <c r="I11" s="17">
        <v>10.0</v>
      </c>
      <c r="J11" s="34">
        <f t="shared" si="2"/>
        <v>0.5</v>
      </c>
      <c r="K11" s="18" t="s">
        <v>769</v>
      </c>
      <c r="L11" s="18" t="s">
        <v>770</v>
      </c>
      <c r="M11" s="18" t="s">
        <v>771</v>
      </c>
      <c r="N11" s="17"/>
      <c r="O11" s="17"/>
    </row>
    <row r="12" ht="99.75" customHeight="1">
      <c r="A12" s="17" t="s">
        <v>772</v>
      </c>
      <c r="B12" s="17" t="s">
        <v>773</v>
      </c>
      <c r="C12" s="17" t="s">
        <v>774</v>
      </c>
      <c r="D12" s="17">
        <v>0.0</v>
      </c>
      <c r="E12" s="18">
        <v>0.5</v>
      </c>
      <c r="F12" s="17">
        <v>0.0</v>
      </c>
      <c r="G12" s="17">
        <v>0.0</v>
      </c>
      <c r="H12" s="17">
        <f t="shared" si="1"/>
        <v>0.5</v>
      </c>
      <c r="I12" s="17">
        <v>1.0</v>
      </c>
      <c r="J12" s="34">
        <f t="shared" si="2"/>
        <v>0.5</v>
      </c>
      <c r="K12" s="17" t="s">
        <v>775</v>
      </c>
      <c r="L12" s="18" t="s">
        <v>776</v>
      </c>
      <c r="M12" s="18" t="s">
        <v>777</v>
      </c>
      <c r="N12" s="17"/>
      <c r="O12" s="17"/>
    </row>
    <row r="13" ht="99.75" customHeight="1">
      <c r="A13" s="17" t="s">
        <v>778</v>
      </c>
      <c r="B13" s="17" t="s">
        <v>779</v>
      </c>
      <c r="C13" s="17" t="s">
        <v>780</v>
      </c>
      <c r="D13" s="17">
        <v>0.0</v>
      </c>
      <c r="E13" s="114">
        <v>0.02</v>
      </c>
      <c r="F13" s="17">
        <v>0.0</v>
      </c>
      <c r="G13" s="17">
        <v>0.0</v>
      </c>
      <c r="H13" s="115">
        <f t="shared" si="1"/>
        <v>0.02</v>
      </c>
      <c r="I13" s="58">
        <v>0.5</v>
      </c>
      <c r="J13" s="34">
        <f t="shared" si="2"/>
        <v>0.04</v>
      </c>
      <c r="K13" s="17" t="s">
        <v>781</v>
      </c>
      <c r="L13" s="18" t="s">
        <v>782</v>
      </c>
      <c r="M13" s="18" t="s">
        <v>783</v>
      </c>
      <c r="N13" s="17"/>
      <c r="O13" s="17"/>
    </row>
    <row r="14" ht="99.75" customHeight="1">
      <c r="A14" s="17" t="s">
        <v>784</v>
      </c>
      <c r="B14" s="17" t="s">
        <v>785</v>
      </c>
      <c r="C14" s="17" t="s">
        <v>786</v>
      </c>
      <c r="D14" s="17">
        <v>0.0</v>
      </c>
      <c r="E14" s="18">
        <v>0.3</v>
      </c>
      <c r="F14" s="17">
        <v>0.0</v>
      </c>
      <c r="G14" s="17">
        <v>0.0</v>
      </c>
      <c r="H14" s="17">
        <f t="shared" si="1"/>
        <v>0.3</v>
      </c>
      <c r="I14" s="17">
        <v>12.0</v>
      </c>
      <c r="J14" s="34">
        <f t="shared" si="2"/>
        <v>0.025</v>
      </c>
      <c r="K14" s="17"/>
      <c r="L14" s="18" t="s">
        <v>782</v>
      </c>
      <c r="M14" s="18" t="s">
        <v>787</v>
      </c>
      <c r="N14" s="17"/>
      <c r="O14" s="17"/>
    </row>
    <row r="15" ht="99.75" customHeight="1">
      <c r="A15" s="50"/>
      <c r="B15" s="50"/>
      <c r="C15" s="50"/>
      <c r="D15" s="50"/>
      <c r="E15" s="50"/>
      <c r="F15" s="50"/>
      <c r="G15" s="50"/>
      <c r="H15" s="50"/>
      <c r="I15" s="50"/>
      <c r="J15" s="50"/>
      <c r="K15" s="50"/>
      <c r="L15" s="50"/>
      <c r="M15" s="50"/>
      <c r="N15" s="50"/>
      <c r="O15" s="50"/>
    </row>
    <row r="16" ht="99.75" customHeight="1">
      <c r="A16" s="29" t="s">
        <v>53</v>
      </c>
      <c r="B16" s="30"/>
      <c r="C16" s="30"/>
      <c r="D16" s="30"/>
      <c r="E16" s="30"/>
      <c r="F16" s="30"/>
      <c r="G16" s="30"/>
      <c r="H16" s="30"/>
      <c r="I16" s="30"/>
      <c r="J16" s="30"/>
      <c r="K16" s="30"/>
      <c r="L16" s="31"/>
      <c r="M16" s="31"/>
      <c r="N16" s="31"/>
      <c r="O16" s="31"/>
    </row>
    <row r="17" ht="99.75" customHeight="1">
      <c r="A17" s="11" t="s">
        <v>2</v>
      </c>
      <c r="B17" s="11" t="s">
        <v>3</v>
      </c>
      <c r="C17" s="11" t="s">
        <v>4</v>
      </c>
      <c r="D17" s="11" t="s">
        <v>788</v>
      </c>
      <c r="E17" s="11" t="s">
        <v>789</v>
      </c>
      <c r="F17" s="11" t="s">
        <v>790</v>
      </c>
      <c r="G17" s="11" t="s">
        <v>791</v>
      </c>
      <c r="H17" s="11" t="s">
        <v>9</v>
      </c>
      <c r="I17" s="11" t="s">
        <v>10</v>
      </c>
      <c r="J17" s="56" t="s">
        <v>301</v>
      </c>
      <c r="K17" s="11" t="s">
        <v>12</v>
      </c>
      <c r="L17" s="11" t="s">
        <v>792</v>
      </c>
      <c r="M17" s="11" t="s">
        <v>793</v>
      </c>
      <c r="N17" s="11" t="s">
        <v>794</v>
      </c>
      <c r="O17" s="11" t="s">
        <v>795</v>
      </c>
    </row>
    <row r="18" ht="99.75" customHeight="1">
      <c r="A18" s="20" t="s">
        <v>796</v>
      </c>
      <c r="B18" s="17" t="s">
        <v>797</v>
      </c>
      <c r="C18" s="17" t="s">
        <v>798</v>
      </c>
      <c r="D18" s="18">
        <v>0.0</v>
      </c>
      <c r="E18" s="18">
        <v>5.0</v>
      </c>
      <c r="F18" s="17">
        <v>0.0</v>
      </c>
      <c r="G18" s="17">
        <v>0.0</v>
      </c>
      <c r="H18" s="17">
        <f t="shared" ref="H18:H29" si="3">+D18+E18+F18+G18</f>
        <v>5</v>
      </c>
      <c r="I18" s="17">
        <v>15.0</v>
      </c>
      <c r="J18" s="34">
        <f t="shared" ref="J18:J20" si="4">H18/I18</f>
        <v>0.3333333333</v>
      </c>
      <c r="K18" s="17" t="s">
        <v>799</v>
      </c>
      <c r="L18" s="111" t="s">
        <v>800</v>
      </c>
      <c r="M18" s="18" t="s">
        <v>801</v>
      </c>
      <c r="N18" s="17"/>
      <c r="O18" s="17"/>
    </row>
    <row r="19" ht="99.75" customHeight="1">
      <c r="A19" s="20" t="s">
        <v>802</v>
      </c>
      <c r="B19" s="17" t="s">
        <v>803</v>
      </c>
      <c r="C19" s="17" t="s">
        <v>804</v>
      </c>
      <c r="D19" s="17">
        <v>0.0</v>
      </c>
      <c r="E19" s="18">
        <v>8.0</v>
      </c>
      <c r="F19" s="17">
        <v>0.0</v>
      </c>
      <c r="G19" s="17">
        <v>0.0</v>
      </c>
      <c r="H19" s="17">
        <f t="shared" si="3"/>
        <v>8</v>
      </c>
      <c r="I19" s="17">
        <v>15.0</v>
      </c>
      <c r="J19" s="34">
        <f t="shared" si="4"/>
        <v>0.5333333333</v>
      </c>
      <c r="K19" s="17" t="s">
        <v>805</v>
      </c>
      <c r="L19" s="18" t="s">
        <v>806</v>
      </c>
      <c r="M19" s="111" t="s">
        <v>807</v>
      </c>
      <c r="N19" s="17"/>
      <c r="O19" s="17"/>
    </row>
    <row r="20" ht="99.75" customHeight="1">
      <c r="A20" s="20" t="s">
        <v>808</v>
      </c>
      <c r="B20" s="17" t="s">
        <v>809</v>
      </c>
      <c r="C20" s="17" t="s">
        <v>810</v>
      </c>
      <c r="D20" s="17">
        <v>0.0</v>
      </c>
      <c r="E20" s="18">
        <v>10.0</v>
      </c>
      <c r="F20" s="17">
        <v>0.0</v>
      </c>
      <c r="G20" s="17">
        <v>0.0</v>
      </c>
      <c r="H20" s="17">
        <f t="shared" si="3"/>
        <v>10</v>
      </c>
      <c r="I20" s="18">
        <v>31.0</v>
      </c>
      <c r="J20" s="34">
        <f t="shared" si="4"/>
        <v>0.3225806452</v>
      </c>
      <c r="K20" s="17" t="s">
        <v>811</v>
      </c>
      <c r="L20" s="18" t="s">
        <v>812</v>
      </c>
      <c r="M20" s="18" t="s">
        <v>813</v>
      </c>
      <c r="N20" s="17"/>
      <c r="O20" s="17"/>
    </row>
    <row r="21" ht="99.75" customHeight="1">
      <c r="A21" s="20" t="s">
        <v>814</v>
      </c>
      <c r="B21" s="17" t="s">
        <v>815</v>
      </c>
      <c r="C21" s="17" t="s">
        <v>816</v>
      </c>
      <c r="D21" s="18">
        <v>5.0</v>
      </c>
      <c r="E21" s="18">
        <v>12.0</v>
      </c>
      <c r="F21" s="17">
        <v>0.0</v>
      </c>
      <c r="G21" s="17">
        <v>0.0</v>
      </c>
      <c r="H21" s="17">
        <f t="shared" si="3"/>
        <v>17</v>
      </c>
      <c r="I21" s="17">
        <v>31.0</v>
      </c>
      <c r="J21" s="34">
        <f>H21/$I$21</f>
        <v>0.5483870968</v>
      </c>
      <c r="K21" s="17" t="s">
        <v>817</v>
      </c>
      <c r="L21" s="18" t="s">
        <v>818</v>
      </c>
      <c r="M21" s="18" t="s">
        <v>819</v>
      </c>
      <c r="N21" s="17"/>
      <c r="O21" s="17"/>
    </row>
    <row r="22" ht="99.75" customHeight="1">
      <c r="A22" s="20" t="s">
        <v>820</v>
      </c>
      <c r="B22" s="73" t="s">
        <v>821</v>
      </c>
      <c r="C22" s="72" t="s">
        <v>822</v>
      </c>
      <c r="D22" s="73">
        <v>5.0</v>
      </c>
      <c r="E22" s="73">
        <v>4.0</v>
      </c>
      <c r="F22" s="72">
        <v>0.0</v>
      </c>
      <c r="G22" s="72">
        <v>0.0</v>
      </c>
      <c r="H22" s="17">
        <f t="shared" si="3"/>
        <v>9</v>
      </c>
      <c r="I22" s="73">
        <v>15.0</v>
      </c>
      <c r="J22" s="34">
        <f t="shared" ref="J22:J29" si="5">H22/I22</f>
        <v>0.6</v>
      </c>
      <c r="K22" s="73" t="s">
        <v>823</v>
      </c>
      <c r="L22" s="111" t="s">
        <v>824</v>
      </c>
      <c r="M22" s="111" t="s">
        <v>825</v>
      </c>
      <c r="N22" s="17"/>
      <c r="O22" s="17"/>
    </row>
    <row r="23" ht="99.75" customHeight="1">
      <c r="A23" s="20" t="s">
        <v>826</v>
      </c>
      <c r="B23" s="17" t="s">
        <v>827</v>
      </c>
      <c r="C23" s="17" t="s">
        <v>828</v>
      </c>
      <c r="D23" s="72">
        <v>0.0</v>
      </c>
      <c r="E23" s="73">
        <v>3.0</v>
      </c>
      <c r="F23" s="72">
        <v>0.0</v>
      </c>
      <c r="G23" s="72">
        <v>0.0</v>
      </c>
      <c r="H23" s="72">
        <f t="shared" si="3"/>
        <v>3</v>
      </c>
      <c r="I23" s="73">
        <v>10.0</v>
      </c>
      <c r="J23" s="34">
        <f t="shared" si="5"/>
        <v>0.3</v>
      </c>
      <c r="K23" s="113" t="s">
        <v>829</v>
      </c>
      <c r="L23" s="22" t="s">
        <v>830</v>
      </c>
      <c r="M23" s="111" t="s">
        <v>831</v>
      </c>
      <c r="N23" s="17"/>
      <c r="O23" s="17"/>
    </row>
    <row r="24" ht="99.75" customHeight="1">
      <c r="A24" s="20" t="s">
        <v>832</v>
      </c>
      <c r="B24" s="17" t="s">
        <v>833</v>
      </c>
      <c r="C24" s="17" t="s">
        <v>834</v>
      </c>
      <c r="D24" s="116">
        <v>0.0</v>
      </c>
      <c r="E24" s="73">
        <v>0.0018</v>
      </c>
      <c r="F24" s="73">
        <v>0.0</v>
      </c>
      <c r="G24" s="72">
        <v>0.0</v>
      </c>
      <c r="H24" s="117">
        <f t="shared" si="3"/>
        <v>0.0018</v>
      </c>
      <c r="I24" s="118">
        <v>0.18</v>
      </c>
      <c r="J24" s="34">
        <f t="shared" si="5"/>
        <v>0.01</v>
      </c>
      <c r="K24" s="17" t="s">
        <v>835</v>
      </c>
      <c r="L24" s="18" t="s">
        <v>836</v>
      </c>
      <c r="M24" s="18" t="s">
        <v>837</v>
      </c>
      <c r="N24" s="17"/>
      <c r="O24" s="17"/>
    </row>
    <row r="25" ht="99.75" customHeight="1">
      <c r="A25" s="17" t="s">
        <v>838</v>
      </c>
      <c r="B25" s="17" t="s">
        <v>839</v>
      </c>
      <c r="C25" s="17" t="s">
        <v>840</v>
      </c>
      <c r="D25" s="17">
        <v>0.0</v>
      </c>
      <c r="E25" s="18">
        <v>12.0</v>
      </c>
      <c r="F25" s="17">
        <v>0.0</v>
      </c>
      <c r="G25" s="17">
        <v>0.0</v>
      </c>
      <c r="H25" s="17">
        <f t="shared" si="3"/>
        <v>12</v>
      </c>
      <c r="I25" s="72">
        <v>10.0</v>
      </c>
      <c r="J25" s="34">
        <f t="shared" si="5"/>
        <v>1.2</v>
      </c>
      <c r="K25" s="119" t="s">
        <v>841</v>
      </c>
      <c r="L25" s="22" t="s">
        <v>842</v>
      </c>
      <c r="M25" s="111" t="s">
        <v>843</v>
      </c>
      <c r="N25" s="17"/>
      <c r="O25" s="17"/>
    </row>
    <row r="26" ht="99.75" customHeight="1">
      <c r="A26" s="20" t="s">
        <v>844</v>
      </c>
      <c r="B26" s="17" t="s">
        <v>845</v>
      </c>
      <c r="C26" s="17" t="s">
        <v>846</v>
      </c>
      <c r="D26" s="17">
        <v>0.0</v>
      </c>
      <c r="E26" s="18">
        <v>0.01</v>
      </c>
      <c r="F26" s="17">
        <v>0.0</v>
      </c>
      <c r="G26" s="17">
        <v>0.0</v>
      </c>
      <c r="H26" s="17">
        <f t="shared" si="3"/>
        <v>0.01</v>
      </c>
      <c r="I26" s="17">
        <v>1.0</v>
      </c>
      <c r="J26" s="34">
        <f t="shared" si="5"/>
        <v>0.01</v>
      </c>
      <c r="K26" s="17" t="s">
        <v>847</v>
      </c>
      <c r="L26" s="111" t="s">
        <v>848</v>
      </c>
      <c r="M26" s="111" t="s">
        <v>849</v>
      </c>
      <c r="N26" s="17"/>
      <c r="O26" s="17"/>
    </row>
    <row r="27" ht="99.75" customHeight="1">
      <c r="A27" s="20" t="s">
        <v>844</v>
      </c>
      <c r="B27" s="17" t="s">
        <v>850</v>
      </c>
      <c r="C27" s="17" t="s">
        <v>851</v>
      </c>
      <c r="D27" s="17">
        <v>0.0</v>
      </c>
      <c r="E27" s="18">
        <v>120.0</v>
      </c>
      <c r="F27" s="17">
        <v>0.0</v>
      </c>
      <c r="G27" s="17">
        <v>0.0</v>
      </c>
      <c r="H27" s="17">
        <f t="shared" si="3"/>
        <v>120</v>
      </c>
      <c r="I27" s="17">
        <v>70.0</v>
      </c>
      <c r="J27" s="34">
        <f t="shared" si="5"/>
        <v>1.714285714</v>
      </c>
      <c r="K27" s="18" t="s">
        <v>852</v>
      </c>
      <c r="L27" s="44" t="s">
        <v>853</v>
      </c>
      <c r="M27" s="18" t="s">
        <v>854</v>
      </c>
      <c r="N27" s="17"/>
      <c r="O27" s="17"/>
    </row>
    <row r="28" ht="99.75" customHeight="1">
      <c r="A28" s="20" t="s">
        <v>844</v>
      </c>
      <c r="B28" s="111" t="s">
        <v>855</v>
      </c>
      <c r="C28" s="17" t="s">
        <v>851</v>
      </c>
      <c r="D28" s="19">
        <v>0.0</v>
      </c>
      <c r="E28" s="18">
        <v>6.0</v>
      </c>
      <c r="F28" s="17">
        <v>0.0</v>
      </c>
      <c r="G28" s="17">
        <v>0.0</v>
      </c>
      <c r="H28" s="58">
        <f t="shared" si="3"/>
        <v>6</v>
      </c>
      <c r="I28" s="18">
        <v>9.0</v>
      </c>
      <c r="J28" s="34">
        <f t="shared" si="5"/>
        <v>0.6666666667</v>
      </c>
      <c r="K28" s="120" t="s">
        <v>856</v>
      </c>
      <c r="L28" s="111" t="s">
        <v>857</v>
      </c>
      <c r="M28" s="121" t="s">
        <v>858</v>
      </c>
      <c r="N28" s="111"/>
      <c r="O28" s="111"/>
    </row>
    <row r="29" ht="99.75" customHeight="1">
      <c r="A29" s="20" t="s">
        <v>844</v>
      </c>
      <c r="B29" s="122" t="s">
        <v>859</v>
      </c>
      <c r="C29" s="17" t="s">
        <v>851</v>
      </c>
      <c r="D29" s="17">
        <v>0.0</v>
      </c>
      <c r="E29" s="18">
        <v>0.5</v>
      </c>
      <c r="F29" s="17">
        <v>0.0</v>
      </c>
      <c r="G29" s="17">
        <v>0.0</v>
      </c>
      <c r="H29" s="17">
        <f t="shared" si="3"/>
        <v>0.5</v>
      </c>
      <c r="I29" s="18">
        <v>3.0</v>
      </c>
      <c r="J29" s="34">
        <f t="shared" si="5"/>
        <v>0.1666666667</v>
      </c>
      <c r="K29" s="120" t="s">
        <v>860</v>
      </c>
      <c r="L29" s="50"/>
      <c r="M29" s="111" t="s">
        <v>861</v>
      </c>
      <c r="N29" s="50"/>
      <c r="O29" s="50"/>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K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2.63" defaultRowHeight="15.0"/>
  <cols>
    <col customWidth="1" min="1" max="1" width="39.63"/>
    <col customWidth="1" min="2" max="2" width="43.0"/>
    <col customWidth="1" min="3" max="3" width="9.75"/>
    <col customWidth="1" min="4" max="6" width="9.13"/>
    <col customWidth="1" min="7" max="9" width="9.88"/>
    <col customWidth="1" min="10" max="10" width="12.38"/>
    <col customWidth="1" min="11" max="11" width="28.63"/>
    <col customWidth="1" min="12" max="12" width="29.38"/>
    <col customWidth="1" min="13" max="13" width="44.5"/>
    <col customWidth="1" min="14" max="14" width="22.13"/>
    <col customWidth="1" min="15" max="15" width="21.88"/>
    <col customWidth="1" min="16" max="26" width="10.63"/>
  </cols>
  <sheetData>
    <row r="1" ht="32.25" customHeight="1">
      <c r="A1" s="1" t="s">
        <v>862</v>
      </c>
      <c r="B1" s="2"/>
      <c r="C1" s="2"/>
      <c r="D1" s="2"/>
      <c r="E1" s="2"/>
      <c r="F1" s="2"/>
      <c r="G1" s="2"/>
      <c r="H1" s="2"/>
      <c r="I1" s="2"/>
      <c r="J1" s="2"/>
      <c r="K1" s="2"/>
      <c r="L1" s="27"/>
      <c r="M1" s="27"/>
      <c r="N1" s="27"/>
      <c r="O1" s="28"/>
    </row>
    <row r="2" ht="14.25" customHeight="1">
      <c r="A2" s="5"/>
    </row>
    <row r="3" ht="14.25" customHeight="1">
      <c r="A3" s="23" t="s">
        <v>1</v>
      </c>
      <c r="B3" s="30"/>
      <c r="C3" s="30"/>
      <c r="D3" s="30"/>
      <c r="E3" s="30"/>
      <c r="F3" s="30"/>
      <c r="G3" s="30"/>
      <c r="H3" s="30"/>
      <c r="I3" s="30"/>
      <c r="J3" s="30"/>
      <c r="K3" s="30"/>
      <c r="L3" s="31"/>
      <c r="M3" s="31"/>
      <c r="N3" s="31"/>
      <c r="O3" s="31"/>
    </row>
    <row r="4" ht="60.75" customHeight="1">
      <c r="A4" s="11" t="s">
        <v>2</v>
      </c>
      <c r="B4" s="11" t="s">
        <v>3</v>
      </c>
      <c r="C4" s="11" t="s">
        <v>4</v>
      </c>
      <c r="D4" s="11" t="s">
        <v>863</v>
      </c>
      <c r="E4" s="11" t="s">
        <v>864</v>
      </c>
      <c r="F4" s="11" t="s">
        <v>865</v>
      </c>
      <c r="G4" s="11" t="s">
        <v>866</v>
      </c>
      <c r="H4" s="11" t="s">
        <v>9</v>
      </c>
      <c r="I4" s="11" t="s">
        <v>10</v>
      </c>
      <c r="J4" s="56" t="s">
        <v>301</v>
      </c>
      <c r="K4" s="11" t="s">
        <v>12</v>
      </c>
      <c r="L4" s="11" t="s">
        <v>867</v>
      </c>
      <c r="M4" s="11" t="s">
        <v>868</v>
      </c>
      <c r="N4" s="11" t="s">
        <v>869</v>
      </c>
      <c r="O4" s="11" t="s">
        <v>870</v>
      </c>
    </row>
    <row r="5" ht="60.75" customHeight="1">
      <c r="A5" s="17" t="s">
        <v>871</v>
      </c>
      <c r="B5" s="18" t="s">
        <v>872</v>
      </c>
      <c r="C5" s="17" t="s">
        <v>873</v>
      </c>
      <c r="D5" s="18">
        <v>18.0</v>
      </c>
      <c r="E5" s="18">
        <v>48.0</v>
      </c>
      <c r="F5" s="17">
        <v>0.0</v>
      </c>
      <c r="G5" s="17">
        <v>0.0</v>
      </c>
      <c r="H5" s="17">
        <f t="shared" ref="H5:H9" si="1">+D5+E5+F5+G5</f>
        <v>66</v>
      </c>
      <c r="I5" s="17">
        <v>70.0</v>
      </c>
      <c r="J5" s="34">
        <f t="shared" ref="J5:J9" si="2">H5/I5</f>
        <v>0.9428571429</v>
      </c>
      <c r="K5" s="17" t="s">
        <v>874</v>
      </c>
      <c r="L5" s="18" t="s">
        <v>875</v>
      </c>
      <c r="M5" s="18" t="s">
        <v>876</v>
      </c>
      <c r="N5" s="17"/>
      <c r="O5" s="17"/>
    </row>
    <row r="6" ht="60.75" customHeight="1">
      <c r="A6" s="18" t="s">
        <v>877</v>
      </c>
      <c r="B6" s="17" t="s">
        <v>878</v>
      </c>
      <c r="C6" s="17" t="s">
        <v>879</v>
      </c>
      <c r="D6" s="18">
        <v>0.1</v>
      </c>
      <c r="E6" s="18">
        <v>31.0</v>
      </c>
      <c r="F6" s="17">
        <v>0.0</v>
      </c>
      <c r="G6" s="17">
        <v>0.0</v>
      </c>
      <c r="H6" s="17">
        <f t="shared" si="1"/>
        <v>31.1</v>
      </c>
      <c r="I6" s="17">
        <v>60.0</v>
      </c>
      <c r="J6" s="34">
        <f t="shared" si="2"/>
        <v>0.5183333333</v>
      </c>
      <c r="K6" s="17" t="s">
        <v>880</v>
      </c>
      <c r="L6" s="18" t="s">
        <v>881</v>
      </c>
      <c r="M6" s="18" t="s">
        <v>882</v>
      </c>
      <c r="N6" s="17"/>
      <c r="O6" s="17"/>
    </row>
    <row r="7" ht="60.75" customHeight="1">
      <c r="A7" s="17" t="s">
        <v>883</v>
      </c>
      <c r="B7" s="17" t="s">
        <v>884</v>
      </c>
      <c r="C7" s="17" t="s">
        <v>885</v>
      </c>
      <c r="D7" s="18">
        <v>1.0</v>
      </c>
      <c r="E7" s="18">
        <v>40.0</v>
      </c>
      <c r="F7" s="18">
        <v>0.0</v>
      </c>
      <c r="G7" s="18">
        <v>0.0</v>
      </c>
      <c r="H7" s="17">
        <f t="shared" si="1"/>
        <v>41</v>
      </c>
      <c r="I7" s="17">
        <v>70.0</v>
      </c>
      <c r="J7" s="34">
        <f t="shared" si="2"/>
        <v>0.5857142857</v>
      </c>
      <c r="K7" s="17" t="s">
        <v>886</v>
      </c>
      <c r="L7" s="18" t="s">
        <v>887</v>
      </c>
      <c r="M7" s="18" t="s">
        <v>888</v>
      </c>
      <c r="N7" s="17"/>
      <c r="O7" s="17"/>
    </row>
    <row r="8" ht="60.75" customHeight="1">
      <c r="A8" s="17" t="s">
        <v>889</v>
      </c>
      <c r="B8" s="17" t="s">
        <v>890</v>
      </c>
      <c r="C8" s="17" t="s">
        <v>891</v>
      </c>
      <c r="D8" s="18">
        <v>0.1</v>
      </c>
      <c r="E8" s="18">
        <v>0.2</v>
      </c>
      <c r="F8" s="17">
        <v>0.0</v>
      </c>
      <c r="G8" s="17">
        <v>0.0</v>
      </c>
      <c r="H8" s="17">
        <f t="shared" si="1"/>
        <v>0.3</v>
      </c>
      <c r="I8" s="17">
        <v>1.0</v>
      </c>
      <c r="J8" s="34">
        <f t="shared" si="2"/>
        <v>0.3</v>
      </c>
      <c r="K8" s="17" t="s">
        <v>892</v>
      </c>
      <c r="L8" s="18" t="s">
        <v>893</v>
      </c>
      <c r="M8" s="76" t="s">
        <v>894</v>
      </c>
      <c r="N8" s="17"/>
      <c r="O8" s="17"/>
    </row>
    <row r="9" ht="60.75" customHeight="1">
      <c r="A9" s="18" t="s">
        <v>895</v>
      </c>
      <c r="B9" s="17" t="s">
        <v>896</v>
      </c>
      <c r="C9" s="17" t="s">
        <v>879</v>
      </c>
      <c r="D9" s="18">
        <v>0.1</v>
      </c>
      <c r="E9" s="18">
        <v>4.0</v>
      </c>
      <c r="F9" s="17">
        <v>0.0</v>
      </c>
      <c r="G9" s="17">
        <v>0.0</v>
      </c>
      <c r="H9" s="17">
        <f t="shared" si="1"/>
        <v>4.1</v>
      </c>
      <c r="I9" s="17">
        <v>35.0</v>
      </c>
      <c r="J9" s="34">
        <f t="shared" si="2"/>
        <v>0.1171428571</v>
      </c>
      <c r="K9" s="36" t="s">
        <v>897</v>
      </c>
      <c r="L9" s="18" t="s">
        <v>893</v>
      </c>
      <c r="M9" s="18" t="s">
        <v>898</v>
      </c>
      <c r="N9" s="17"/>
      <c r="O9" s="17"/>
    </row>
    <row r="10" ht="60.75" customHeight="1">
      <c r="A10" s="11"/>
      <c r="B10" s="11"/>
      <c r="C10" s="11"/>
      <c r="D10" s="11"/>
      <c r="E10" s="11"/>
      <c r="F10" s="11"/>
      <c r="G10" s="11"/>
      <c r="H10" s="11"/>
      <c r="I10" s="11"/>
      <c r="J10" s="11"/>
      <c r="K10" s="11"/>
      <c r="L10" s="11"/>
      <c r="M10" s="11"/>
      <c r="N10" s="11"/>
      <c r="O10" s="11"/>
    </row>
    <row r="11" ht="60.75" customHeight="1">
      <c r="A11" s="23" t="s">
        <v>53</v>
      </c>
      <c r="B11" s="30"/>
      <c r="C11" s="30"/>
      <c r="D11" s="30"/>
      <c r="E11" s="30"/>
      <c r="F11" s="30"/>
      <c r="G11" s="30"/>
      <c r="H11" s="30"/>
      <c r="I11" s="30"/>
      <c r="J11" s="30"/>
      <c r="K11" s="30"/>
      <c r="L11" s="31"/>
      <c r="M11" s="31"/>
      <c r="N11" s="31"/>
      <c r="O11" s="31"/>
    </row>
    <row r="12" ht="60.75" customHeight="1">
      <c r="A12" s="11" t="s">
        <v>2</v>
      </c>
      <c r="B12" s="11" t="s">
        <v>3</v>
      </c>
      <c r="C12" s="11" t="s">
        <v>4</v>
      </c>
      <c r="D12" s="11" t="s">
        <v>899</v>
      </c>
      <c r="E12" s="11" t="s">
        <v>900</v>
      </c>
      <c r="F12" s="11" t="s">
        <v>901</v>
      </c>
      <c r="G12" s="11" t="s">
        <v>902</v>
      </c>
      <c r="H12" s="11" t="s">
        <v>9</v>
      </c>
      <c r="I12" s="11" t="s">
        <v>10</v>
      </c>
      <c r="J12" s="56" t="s">
        <v>301</v>
      </c>
      <c r="K12" s="11" t="s">
        <v>903</v>
      </c>
      <c r="L12" s="11" t="s">
        <v>904</v>
      </c>
      <c r="M12" s="11" t="s">
        <v>905</v>
      </c>
      <c r="N12" s="11" t="s">
        <v>906</v>
      </c>
      <c r="O12" s="11" t="s">
        <v>907</v>
      </c>
    </row>
    <row r="13" ht="60.75" customHeight="1">
      <c r="A13" s="17" t="s">
        <v>908</v>
      </c>
      <c r="B13" s="17" t="s">
        <v>909</v>
      </c>
      <c r="C13" s="17" t="s">
        <v>910</v>
      </c>
      <c r="D13" s="18">
        <v>0.5</v>
      </c>
      <c r="E13" s="18">
        <v>3.0</v>
      </c>
      <c r="F13" s="18">
        <v>0.0</v>
      </c>
      <c r="G13" s="17">
        <v>0.0</v>
      </c>
      <c r="H13" s="17">
        <f t="shared" ref="H13:H25" si="3">+D13+E13+F13+G13</f>
        <v>3.5</v>
      </c>
      <c r="I13" s="17">
        <v>7.0</v>
      </c>
      <c r="J13" s="34">
        <f t="shared" ref="J13:J25" si="4">H13/I13</f>
        <v>0.5</v>
      </c>
      <c r="K13" s="17" t="s">
        <v>911</v>
      </c>
      <c r="L13" s="18" t="s">
        <v>912</v>
      </c>
      <c r="M13" s="123" t="s">
        <v>913</v>
      </c>
      <c r="N13" s="17"/>
      <c r="O13" s="17"/>
    </row>
    <row r="14" ht="60.75" customHeight="1">
      <c r="A14" s="17" t="s">
        <v>914</v>
      </c>
      <c r="B14" s="18" t="s">
        <v>915</v>
      </c>
      <c r="C14" s="17" t="s">
        <v>916</v>
      </c>
      <c r="D14" s="18">
        <v>0.1</v>
      </c>
      <c r="E14" s="18">
        <v>0.2</v>
      </c>
      <c r="F14" s="17">
        <v>0.0</v>
      </c>
      <c r="G14" s="17">
        <v>0.0</v>
      </c>
      <c r="H14" s="17">
        <f t="shared" si="3"/>
        <v>0.3</v>
      </c>
      <c r="I14" s="58">
        <v>0.8</v>
      </c>
      <c r="J14" s="34">
        <f t="shared" si="4"/>
        <v>0.375</v>
      </c>
      <c r="K14" s="17" t="s">
        <v>917</v>
      </c>
      <c r="L14" s="18" t="s">
        <v>918</v>
      </c>
      <c r="M14" s="76" t="s">
        <v>919</v>
      </c>
      <c r="N14" s="17"/>
      <c r="O14" s="17"/>
    </row>
    <row r="15" ht="60.75" customHeight="1">
      <c r="A15" s="18" t="s">
        <v>920</v>
      </c>
      <c r="B15" s="17" t="s">
        <v>921</v>
      </c>
      <c r="C15" s="17" t="s">
        <v>922</v>
      </c>
      <c r="D15" s="17">
        <v>0.0</v>
      </c>
      <c r="E15" s="18">
        <v>0.4</v>
      </c>
      <c r="F15" s="17">
        <v>0.0</v>
      </c>
      <c r="G15" s="17">
        <v>0.0</v>
      </c>
      <c r="H15" s="17">
        <f t="shared" si="3"/>
        <v>0.4</v>
      </c>
      <c r="I15" s="58">
        <v>0.8</v>
      </c>
      <c r="J15" s="34">
        <f t="shared" si="4"/>
        <v>0.5</v>
      </c>
      <c r="K15" s="17" t="s">
        <v>923</v>
      </c>
      <c r="L15" s="18" t="s">
        <v>924</v>
      </c>
      <c r="M15" s="111" t="s">
        <v>925</v>
      </c>
      <c r="N15" s="17"/>
      <c r="O15" s="17"/>
    </row>
    <row r="16" ht="60.75" customHeight="1">
      <c r="A16" s="17" t="s">
        <v>926</v>
      </c>
      <c r="B16" s="17" t="s">
        <v>927</v>
      </c>
      <c r="C16" s="17" t="s">
        <v>879</v>
      </c>
      <c r="D16" s="18">
        <v>0.9</v>
      </c>
      <c r="E16" s="18">
        <v>0.9</v>
      </c>
      <c r="F16" s="17">
        <v>0.0</v>
      </c>
      <c r="G16" s="17">
        <v>0.0</v>
      </c>
      <c r="H16" s="17">
        <f t="shared" si="3"/>
        <v>1.8</v>
      </c>
      <c r="I16" s="17">
        <v>10.0</v>
      </c>
      <c r="J16" s="34">
        <f t="shared" si="4"/>
        <v>0.18</v>
      </c>
      <c r="K16" s="17" t="s">
        <v>928</v>
      </c>
      <c r="L16" s="18" t="s">
        <v>929</v>
      </c>
      <c r="M16" s="18" t="s">
        <v>930</v>
      </c>
      <c r="N16" s="17"/>
      <c r="O16" s="17"/>
    </row>
    <row r="17" ht="60.75" customHeight="1">
      <c r="A17" s="33" t="s">
        <v>931</v>
      </c>
      <c r="B17" s="18" t="s">
        <v>932</v>
      </c>
      <c r="C17" s="17" t="s">
        <v>933</v>
      </c>
      <c r="D17" s="17">
        <v>0.0</v>
      </c>
      <c r="E17" s="18">
        <v>35.0</v>
      </c>
      <c r="F17" s="17">
        <v>0.0</v>
      </c>
      <c r="G17" s="17">
        <v>0.0</v>
      </c>
      <c r="H17" s="17">
        <f t="shared" si="3"/>
        <v>35</v>
      </c>
      <c r="I17" s="17">
        <v>65.0</v>
      </c>
      <c r="J17" s="34">
        <f t="shared" si="4"/>
        <v>0.5384615385</v>
      </c>
      <c r="K17" s="17" t="s">
        <v>934</v>
      </c>
      <c r="L17" s="18" t="s">
        <v>935</v>
      </c>
      <c r="M17" s="76" t="s">
        <v>936</v>
      </c>
      <c r="N17" s="17"/>
      <c r="O17" s="17"/>
    </row>
    <row r="18" ht="60.75" customHeight="1">
      <c r="A18" s="33" t="s">
        <v>931</v>
      </c>
      <c r="B18" s="17" t="s">
        <v>937</v>
      </c>
      <c r="C18" s="17" t="s">
        <v>938</v>
      </c>
      <c r="D18" s="18">
        <v>2.0</v>
      </c>
      <c r="E18" s="18">
        <v>6.0</v>
      </c>
      <c r="F18" s="17">
        <v>0.0</v>
      </c>
      <c r="G18" s="17">
        <v>0.0</v>
      </c>
      <c r="H18" s="17">
        <f t="shared" si="3"/>
        <v>8</v>
      </c>
      <c r="I18" s="17">
        <v>11.0</v>
      </c>
      <c r="J18" s="34">
        <f t="shared" si="4"/>
        <v>0.7272727273</v>
      </c>
      <c r="K18" s="17" t="s">
        <v>939</v>
      </c>
      <c r="L18" s="18" t="s">
        <v>940</v>
      </c>
      <c r="M18" s="111" t="s">
        <v>941</v>
      </c>
      <c r="N18" s="17"/>
      <c r="O18" s="17"/>
    </row>
    <row r="19" ht="60.75" customHeight="1">
      <c r="A19" s="33" t="s">
        <v>931</v>
      </c>
      <c r="B19" s="18" t="s">
        <v>942</v>
      </c>
      <c r="C19" s="17" t="s">
        <v>943</v>
      </c>
      <c r="D19" s="18">
        <v>0.5</v>
      </c>
      <c r="E19" s="18">
        <v>1046.0</v>
      </c>
      <c r="F19" s="17">
        <v>0.0</v>
      </c>
      <c r="G19" s="17">
        <v>0.0</v>
      </c>
      <c r="H19" s="17">
        <f t="shared" si="3"/>
        <v>1046.5</v>
      </c>
      <c r="I19" s="17">
        <v>3100.0</v>
      </c>
      <c r="J19" s="34">
        <f t="shared" si="4"/>
        <v>0.3375806452</v>
      </c>
      <c r="K19" s="17" t="s">
        <v>944</v>
      </c>
      <c r="L19" s="18" t="s">
        <v>945</v>
      </c>
      <c r="M19" s="76" t="s">
        <v>946</v>
      </c>
      <c r="N19" s="17"/>
      <c r="O19" s="17"/>
    </row>
    <row r="20" ht="60.75" customHeight="1">
      <c r="A20" s="33" t="s">
        <v>931</v>
      </c>
      <c r="B20" s="17" t="s">
        <v>947</v>
      </c>
      <c r="C20" s="17" t="s">
        <v>948</v>
      </c>
      <c r="D20" s="18">
        <v>0.5</v>
      </c>
      <c r="E20" s="18">
        <v>0.5</v>
      </c>
      <c r="F20" s="17">
        <v>0.0</v>
      </c>
      <c r="G20" s="17">
        <v>0.0</v>
      </c>
      <c r="H20" s="17">
        <f t="shared" si="3"/>
        <v>1</v>
      </c>
      <c r="I20" s="17">
        <v>11.0</v>
      </c>
      <c r="J20" s="34">
        <f t="shared" si="4"/>
        <v>0.09090909091</v>
      </c>
      <c r="K20" s="17" t="s">
        <v>949</v>
      </c>
      <c r="L20" s="18" t="s">
        <v>950</v>
      </c>
      <c r="M20" s="18" t="s">
        <v>951</v>
      </c>
      <c r="N20" s="17"/>
      <c r="O20" s="17"/>
    </row>
    <row r="21" ht="60.75" customHeight="1">
      <c r="A21" s="33" t="s">
        <v>952</v>
      </c>
      <c r="B21" s="18" t="s">
        <v>953</v>
      </c>
      <c r="C21" s="18">
        <v>0.1</v>
      </c>
      <c r="D21" s="17">
        <v>0.0</v>
      </c>
      <c r="E21" s="18">
        <v>0.9</v>
      </c>
      <c r="F21" s="17">
        <v>0.0</v>
      </c>
      <c r="G21" s="17">
        <v>0.0</v>
      </c>
      <c r="H21" s="17">
        <f t="shared" si="3"/>
        <v>0.9</v>
      </c>
      <c r="I21" s="17">
        <v>1.0</v>
      </c>
      <c r="J21" s="34">
        <f t="shared" si="4"/>
        <v>0.9</v>
      </c>
      <c r="K21" s="17" t="s">
        <v>954</v>
      </c>
      <c r="L21" s="18" t="s">
        <v>955</v>
      </c>
      <c r="M21" s="123" t="s">
        <v>956</v>
      </c>
      <c r="N21" s="17"/>
      <c r="O21" s="17"/>
    </row>
    <row r="22" ht="60.75" customHeight="1">
      <c r="A22" s="33" t="s">
        <v>952</v>
      </c>
      <c r="B22" s="17" t="s">
        <v>957</v>
      </c>
      <c r="C22" s="17" t="s">
        <v>958</v>
      </c>
      <c r="D22" s="18">
        <v>0.9</v>
      </c>
      <c r="E22" s="18">
        <v>34.0</v>
      </c>
      <c r="F22" s="17">
        <v>0.0</v>
      </c>
      <c r="G22" s="17">
        <v>0.0</v>
      </c>
      <c r="H22" s="17">
        <f t="shared" si="3"/>
        <v>34.9</v>
      </c>
      <c r="I22" s="17">
        <v>140.0</v>
      </c>
      <c r="J22" s="34">
        <f t="shared" si="4"/>
        <v>0.2492857143</v>
      </c>
      <c r="K22" s="17" t="s">
        <v>959</v>
      </c>
      <c r="L22" s="18" t="s">
        <v>960</v>
      </c>
      <c r="M22" s="124" t="s">
        <v>961</v>
      </c>
      <c r="N22" s="17"/>
      <c r="O22" s="17"/>
    </row>
    <row r="23" ht="60.75" customHeight="1">
      <c r="A23" s="33" t="s">
        <v>962</v>
      </c>
      <c r="B23" s="17" t="s">
        <v>963</v>
      </c>
      <c r="C23" s="17" t="s">
        <v>879</v>
      </c>
      <c r="D23" s="17">
        <v>0.0</v>
      </c>
      <c r="E23" s="18">
        <v>1.0</v>
      </c>
      <c r="F23" s="17">
        <v>0.0</v>
      </c>
      <c r="G23" s="17">
        <v>0.0</v>
      </c>
      <c r="H23" s="17">
        <f t="shared" si="3"/>
        <v>1</v>
      </c>
      <c r="I23" s="17">
        <v>5.0</v>
      </c>
      <c r="J23" s="34">
        <f t="shared" si="4"/>
        <v>0.2</v>
      </c>
      <c r="K23" s="17" t="s">
        <v>964</v>
      </c>
      <c r="L23" s="18" t="s">
        <v>965</v>
      </c>
      <c r="M23" s="123" t="s">
        <v>966</v>
      </c>
      <c r="N23" s="17"/>
      <c r="O23" s="17"/>
    </row>
    <row r="24" ht="60.75" customHeight="1">
      <c r="A24" s="33" t="s">
        <v>962</v>
      </c>
      <c r="B24" s="17" t="s">
        <v>967</v>
      </c>
      <c r="C24" s="17" t="s">
        <v>968</v>
      </c>
      <c r="D24" s="18">
        <v>0.1</v>
      </c>
      <c r="E24" s="18">
        <v>4.0</v>
      </c>
      <c r="F24" s="17">
        <v>0.0</v>
      </c>
      <c r="G24" s="17">
        <v>0.0</v>
      </c>
      <c r="H24" s="17">
        <f t="shared" si="3"/>
        <v>4.1</v>
      </c>
      <c r="I24" s="17">
        <v>6.0</v>
      </c>
      <c r="J24" s="34">
        <f t="shared" si="4"/>
        <v>0.6833333333</v>
      </c>
      <c r="K24" s="17" t="s">
        <v>969</v>
      </c>
      <c r="L24" s="18" t="s">
        <v>970</v>
      </c>
      <c r="M24" s="123" t="s">
        <v>971</v>
      </c>
      <c r="N24" s="17"/>
      <c r="O24" s="17"/>
    </row>
    <row r="25" ht="60.75" customHeight="1">
      <c r="A25" s="33" t="s">
        <v>962</v>
      </c>
      <c r="B25" s="17" t="s">
        <v>972</v>
      </c>
      <c r="C25" s="17" t="s">
        <v>973</v>
      </c>
      <c r="D25" s="17">
        <v>0.0</v>
      </c>
      <c r="E25" s="18">
        <v>0.1</v>
      </c>
      <c r="F25" s="17">
        <v>0.0</v>
      </c>
      <c r="G25" s="17">
        <v>0.0</v>
      </c>
      <c r="H25" s="17">
        <f t="shared" si="3"/>
        <v>0.1</v>
      </c>
      <c r="I25" s="17">
        <v>26.0</v>
      </c>
      <c r="J25" s="34">
        <f t="shared" si="4"/>
        <v>0.003846153846</v>
      </c>
      <c r="K25" s="17" t="s">
        <v>974</v>
      </c>
      <c r="L25" s="18" t="s">
        <v>975</v>
      </c>
      <c r="M25" s="111" t="s">
        <v>976</v>
      </c>
      <c r="N25" s="17"/>
      <c r="O25" s="17"/>
    </row>
    <row r="26" ht="14.25" customHeight="1">
      <c r="A26" s="125"/>
      <c r="B26" s="125"/>
      <c r="C26" s="125"/>
      <c r="D26" s="125"/>
      <c r="E26" s="125"/>
      <c r="F26" s="125"/>
      <c r="G26" s="125"/>
      <c r="H26" s="125"/>
      <c r="I26" s="125"/>
      <c r="J26" s="125"/>
      <c r="K26" s="125"/>
      <c r="L26" s="125"/>
      <c r="N26" s="125"/>
      <c r="O26" s="125"/>
    </row>
    <row r="27" ht="14.25" customHeight="1">
      <c r="A27" s="125"/>
      <c r="B27" s="125"/>
      <c r="C27" s="125"/>
      <c r="D27" s="125"/>
      <c r="E27" s="125"/>
      <c r="F27" s="125"/>
      <c r="G27" s="125"/>
      <c r="H27" s="125"/>
      <c r="I27" s="125"/>
      <c r="J27" s="125"/>
      <c r="K27" s="125"/>
      <c r="L27" s="125"/>
      <c r="M27" s="125"/>
      <c r="N27" s="125"/>
      <c r="O27" s="125"/>
    </row>
    <row r="28" ht="14.25" customHeight="1">
      <c r="A28" s="125"/>
      <c r="B28" s="125"/>
      <c r="C28" s="125"/>
      <c r="D28" s="125"/>
      <c r="E28" s="125"/>
      <c r="F28" s="125"/>
      <c r="G28" s="125"/>
      <c r="H28" s="125"/>
      <c r="I28" s="125"/>
      <c r="J28" s="125"/>
      <c r="K28" s="125"/>
      <c r="L28" s="125"/>
      <c r="M28" s="125"/>
      <c r="N28" s="125"/>
      <c r="O28" s="125"/>
    </row>
    <row r="29" ht="14.25" customHeight="1">
      <c r="A29" s="125"/>
      <c r="B29" s="125"/>
      <c r="C29" s="125"/>
      <c r="D29" s="125"/>
      <c r="E29" s="125"/>
      <c r="F29" s="125"/>
      <c r="G29" s="125"/>
      <c r="H29" s="125"/>
      <c r="I29" s="125"/>
      <c r="J29" s="125"/>
      <c r="K29" s="125"/>
      <c r="L29" s="125"/>
      <c r="M29" s="125"/>
      <c r="N29" s="125"/>
      <c r="O29" s="125"/>
    </row>
    <row r="30" ht="14.25" customHeight="1">
      <c r="A30" s="5"/>
    </row>
    <row r="31" ht="14.25" customHeight="1">
      <c r="A31" s="5"/>
    </row>
    <row r="32" ht="14.25" customHeight="1">
      <c r="A32" s="5"/>
    </row>
    <row r="33" ht="14.25" customHeight="1">
      <c r="A33" s="5"/>
    </row>
    <row r="34" ht="14.25" customHeight="1">
      <c r="A34" s="5"/>
    </row>
    <row r="35" ht="14.25" customHeight="1">
      <c r="A35" s="5"/>
    </row>
    <row r="36" ht="14.25" customHeight="1">
      <c r="A36" s="5"/>
    </row>
    <row r="37" ht="14.25" customHeight="1">
      <c r="A37" s="5"/>
    </row>
    <row r="38" ht="14.25" customHeight="1">
      <c r="A38" s="5"/>
    </row>
    <row r="39" ht="14.25" customHeight="1">
      <c r="A39" s="5"/>
    </row>
    <row r="40" ht="14.25" customHeight="1">
      <c r="A40" s="5"/>
    </row>
    <row r="41" ht="14.25" customHeight="1">
      <c r="A41" s="5"/>
    </row>
    <row r="42" ht="14.25" customHeight="1">
      <c r="A42" s="5"/>
    </row>
    <row r="43" ht="14.25" customHeight="1">
      <c r="A43" s="5"/>
    </row>
    <row r="44" ht="14.25" customHeight="1">
      <c r="A44" s="5"/>
    </row>
    <row r="45" ht="14.25" customHeight="1">
      <c r="A45" s="5"/>
    </row>
    <row r="46" ht="14.25" customHeight="1">
      <c r="A46" s="5"/>
    </row>
    <row r="47" ht="14.25" customHeight="1">
      <c r="A47" s="5"/>
    </row>
    <row r="48" ht="14.25" customHeight="1">
      <c r="A48" s="5"/>
    </row>
    <row r="49" ht="14.25" customHeight="1">
      <c r="A49" s="5"/>
    </row>
    <row r="50" ht="14.25" customHeight="1">
      <c r="A50" s="5"/>
    </row>
    <row r="51" ht="14.25" customHeight="1">
      <c r="A51" s="5"/>
    </row>
    <row r="52" ht="14.25" customHeight="1">
      <c r="A52" s="5"/>
    </row>
    <row r="53" ht="14.25" customHeight="1">
      <c r="A53" s="5"/>
    </row>
    <row r="54" ht="14.25" customHeight="1">
      <c r="A54" s="5"/>
    </row>
    <row r="55" ht="14.25" customHeight="1">
      <c r="A55" s="5"/>
    </row>
    <row r="56" ht="14.25" customHeight="1">
      <c r="A56" s="5"/>
    </row>
    <row r="57" ht="14.25" customHeight="1">
      <c r="A57" s="5"/>
    </row>
    <row r="58" ht="14.25" customHeight="1">
      <c r="A58" s="5"/>
    </row>
    <row r="59" ht="14.25" customHeight="1">
      <c r="A59" s="5"/>
    </row>
    <row r="60" ht="14.25" customHeight="1">
      <c r="A60" s="5"/>
    </row>
    <row r="61" ht="14.25" customHeight="1">
      <c r="A61" s="5"/>
    </row>
    <row r="62" ht="14.25" customHeight="1">
      <c r="A62" s="5"/>
    </row>
    <row r="63" ht="14.25" customHeight="1">
      <c r="A63" s="5"/>
    </row>
    <row r="64" ht="14.25" customHeight="1">
      <c r="A64" s="5"/>
    </row>
    <row r="65" ht="14.25" customHeight="1">
      <c r="A65" s="5"/>
    </row>
    <row r="66" ht="14.25" customHeight="1">
      <c r="A66" s="5"/>
    </row>
    <row r="67" ht="14.25" customHeight="1">
      <c r="A67" s="5"/>
    </row>
    <row r="68" ht="14.25" customHeight="1">
      <c r="A68" s="5"/>
    </row>
    <row r="69" ht="14.25" customHeight="1">
      <c r="A69" s="5"/>
    </row>
    <row r="70" ht="14.25" customHeight="1">
      <c r="A70" s="5"/>
    </row>
    <row r="71" ht="14.25" customHeight="1">
      <c r="A71" s="5"/>
    </row>
    <row r="72" ht="14.25" customHeight="1">
      <c r="A72" s="5"/>
    </row>
    <row r="73" ht="14.25" customHeight="1">
      <c r="A73" s="5"/>
    </row>
    <row r="74" ht="14.25" customHeight="1">
      <c r="A74" s="5"/>
    </row>
    <row r="75" ht="14.25" customHeight="1">
      <c r="A75" s="5"/>
    </row>
    <row r="76" ht="14.25" customHeight="1">
      <c r="A76" s="5"/>
    </row>
    <row r="77" ht="14.25" customHeight="1">
      <c r="A77" s="5"/>
    </row>
    <row r="78" ht="14.25" customHeight="1">
      <c r="A78" s="5"/>
    </row>
    <row r="79" ht="14.25" customHeight="1">
      <c r="A79" s="5"/>
    </row>
    <row r="80" ht="14.25" customHeight="1">
      <c r="A80" s="5"/>
    </row>
    <row r="81" ht="14.25" customHeight="1">
      <c r="A81" s="5"/>
    </row>
    <row r="82" ht="14.25" customHeight="1">
      <c r="A82" s="5"/>
    </row>
    <row r="83" ht="14.25" customHeight="1">
      <c r="A83" s="5"/>
    </row>
    <row r="84" ht="14.25" customHeight="1">
      <c r="A84" s="5"/>
    </row>
    <row r="85" ht="14.25" customHeight="1">
      <c r="A85" s="5"/>
    </row>
    <row r="86" ht="14.25" customHeight="1">
      <c r="A86" s="5"/>
    </row>
    <row r="87" ht="14.25" customHeight="1">
      <c r="A87" s="5"/>
    </row>
    <row r="88" ht="14.25" customHeight="1">
      <c r="A88" s="5"/>
    </row>
    <row r="89" ht="14.25" customHeight="1">
      <c r="A89" s="5"/>
    </row>
    <row r="90" ht="14.25" customHeight="1">
      <c r="A90" s="5"/>
    </row>
    <row r="91" ht="14.25" customHeight="1">
      <c r="A91" s="5"/>
    </row>
    <row r="92" ht="14.25" customHeight="1">
      <c r="A92" s="5"/>
    </row>
    <row r="93" ht="14.25" customHeight="1">
      <c r="A93" s="5"/>
    </row>
    <row r="94" ht="14.25" customHeight="1">
      <c r="A94" s="5"/>
    </row>
    <row r="95" ht="14.25" customHeight="1">
      <c r="A95" s="5"/>
    </row>
    <row r="96" ht="14.25" customHeight="1">
      <c r="A96" s="5"/>
    </row>
    <row r="97" ht="14.25" customHeight="1">
      <c r="A97" s="5"/>
    </row>
    <row r="98" ht="14.25" customHeight="1">
      <c r="A98" s="5"/>
    </row>
    <row r="99" ht="14.25" customHeight="1">
      <c r="A99" s="5"/>
    </row>
    <row r="100" ht="14.25" customHeight="1">
      <c r="A100" s="5"/>
    </row>
    <row r="101" ht="14.25" customHeight="1">
      <c r="A101" s="5"/>
    </row>
    <row r="102" ht="14.25" customHeight="1">
      <c r="A102" s="5"/>
    </row>
    <row r="103" ht="14.25" customHeight="1">
      <c r="A103" s="5"/>
    </row>
    <row r="104" ht="14.25" customHeight="1">
      <c r="A104" s="5"/>
    </row>
    <row r="105" ht="14.25" customHeight="1">
      <c r="A105" s="5"/>
    </row>
    <row r="106" ht="14.25" customHeight="1">
      <c r="A106" s="5"/>
    </row>
    <row r="107" ht="14.25" customHeight="1">
      <c r="A107" s="5"/>
    </row>
    <row r="108" ht="14.25" customHeight="1">
      <c r="A108" s="5"/>
    </row>
    <row r="109" ht="14.25" customHeight="1">
      <c r="A109" s="5"/>
    </row>
    <row r="110" ht="14.25" customHeight="1">
      <c r="A110" s="5"/>
    </row>
    <row r="111" ht="14.25" customHeight="1">
      <c r="A111" s="5"/>
    </row>
    <row r="112" ht="14.25" customHeight="1">
      <c r="A112" s="5"/>
    </row>
    <row r="113" ht="14.25" customHeight="1">
      <c r="A113" s="5"/>
    </row>
    <row r="114" ht="14.25" customHeight="1">
      <c r="A114" s="5"/>
    </row>
    <row r="115" ht="14.25" customHeight="1">
      <c r="A115" s="5"/>
    </row>
    <row r="116" ht="14.25" customHeight="1">
      <c r="A116" s="5"/>
    </row>
    <row r="117" ht="14.25" customHeight="1">
      <c r="A117" s="5"/>
    </row>
    <row r="118" ht="14.25" customHeight="1">
      <c r="A118" s="5"/>
    </row>
    <row r="119" ht="14.25" customHeight="1">
      <c r="A119" s="5"/>
    </row>
    <row r="120" ht="14.25" customHeight="1">
      <c r="A120" s="5"/>
    </row>
    <row r="121" ht="14.25" customHeight="1">
      <c r="A121" s="5"/>
    </row>
    <row r="122" ht="14.25" customHeight="1">
      <c r="A122" s="5"/>
    </row>
    <row r="123" ht="14.25" customHeight="1">
      <c r="A123" s="5"/>
    </row>
    <row r="124" ht="14.25" customHeight="1">
      <c r="A124" s="5"/>
    </row>
    <row r="125" ht="14.25" customHeight="1">
      <c r="A125" s="5"/>
    </row>
    <row r="126" ht="14.25" customHeight="1">
      <c r="A126" s="5"/>
    </row>
    <row r="127" ht="14.25" customHeight="1">
      <c r="A127" s="5"/>
    </row>
    <row r="128" ht="14.25" customHeight="1">
      <c r="A128" s="5"/>
    </row>
    <row r="129" ht="14.25" customHeight="1">
      <c r="A129" s="5"/>
    </row>
    <row r="130" ht="14.25" customHeight="1">
      <c r="A130" s="5"/>
    </row>
    <row r="131" ht="14.25" customHeight="1">
      <c r="A131" s="5"/>
    </row>
    <row r="132" ht="14.25" customHeight="1">
      <c r="A132" s="5"/>
    </row>
    <row r="133" ht="14.25" customHeight="1">
      <c r="A133" s="5"/>
    </row>
    <row r="134" ht="14.25" customHeight="1">
      <c r="A134" s="5"/>
    </row>
    <row r="135" ht="14.25" customHeight="1">
      <c r="A135" s="5"/>
    </row>
    <row r="136" ht="14.25" customHeight="1">
      <c r="A136" s="5"/>
    </row>
    <row r="137" ht="14.25" customHeight="1">
      <c r="A137" s="5"/>
    </row>
    <row r="138" ht="14.25" customHeight="1">
      <c r="A138" s="5"/>
    </row>
    <row r="139" ht="14.25" customHeight="1">
      <c r="A139" s="5"/>
    </row>
    <row r="140" ht="14.25" customHeight="1">
      <c r="A140" s="5"/>
    </row>
    <row r="141" ht="14.25" customHeight="1">
      <c r="A141" s="5"/>
    </row>
    <row r="142" ht="14.25" customHeight="1">
      <c r="A142" s="5"/>
    </row>
    <row r="143" ht="14.25" customHeight="1">
      <c r="A143" s="5"/>
    </row>
    <row r="144" ht="14.25" customHeight="1">
      <c r="A144" s="5"/>
    </row>
    <row r="145" ht="14.25" customHeight="1">
      <c r="A145" s="5"/>
    </row>
    <row r="146" ht="14.25" customHeight="1">
      <c r="A146" s="5"/>
    </row>
    <row r="147" ht="14.25" customHeight="1">
      <c r="A147" s="5"/>
    </row>
    <row r="148" ht="14.25" customHeight="1">
      <c r="A148" s="5"/>
    </row>
    <row r="149" ht="14.25" customHeight="1">
      <c r="A149" s="5"/>
    </row>
    <row r="150" ht="14.25" customHeight="1">
      <c r="A150" s="5"/>
    </row>
    <row r="151" ht="14.25" customHeight="1">
      <c r="A151" s="5"/>
    </row>
    <row r="152" ht="14.25" customHeight="1">
      <c r="A152" s="5"/>
    </row>
    <row r="153" ht="14.25" customHeight="1">
      <c r="A153" s="5"/>
    </row>
    <row r="154" ht="14.25" customHeight="1">
      <c r="A154" s="5"/>
    </row>
    <row r="155" ht="14.25" customHeight="1">
      <c r="A155" s="5"/>
    </row>
    <row r="156" ht="14.25" customHeight="1">
      <c r="A156" s="5"/>
    </row>
    <row r="157" ht="14.25" customHeight="1">
      <c r="A157" s="5"/>
    </row>
    <row r="158" ht="14.25" customHeight="1">
      <c r="A158" s="5"/>
    </row>
    <row r="159" ht="14.25" customHeight="1">
      <c r="A159" s="5"/>
    </row>
    <row r="160" ht="14.25" customHeight="1">
      <c r="A160" s="5"/>
    </row>
    <row r="161" ht="14.25" customHeight="1">
      <c r="A161" s="5"/>
    </row>
    <row r="162" ht="14.25" customHeight="1">
      <c r="A162" s="5"/>
    </row>
    <row r="163" ht="14.25" customHeight="1">
      <c r="A163" s="5"/>
    </row>
    <row r="164" ht="14.25" customHeight="1">
      <c r="A164" s="5"/>
    </row>
    <row r="165" ht="14.25" customHeight="1">
      <c r="A165" s="5"/>
    </row>
    <row r="166" ht="14.25" customHeight="1">
      <c r="A166" s="5"/>
    </row>
    <row r="167" ht="14.25" customHeight="1">
      <c r="A167" s="5"/>
    </row>
    <row r="168" ht="14.25" customHeight="1">
      <c r="A168" s="5"/>
    </row>
    <row r="169" ht="14.25" customHeight="1">
      <c r="A169" s="5"/>
    </row>
    <row r="170" ht="14.25" customHeight="1">
      <c r="A170" s="5"/>
    </row>
    <row r="171" ht="14.25" customHeight="1">
      <c r="A171" s="5"/>
    </row>
    <row r="172" ht="14.25" customHeight="1">
      <c r="A172" s="5"/>
    </row>
    <row r="173" ht="14.25" customHeight="1">
      <c r="A173" s="5"/>
    </row>
    <row r="174" ht="14.25" customHeight="1">
      <c r="A174" s="5"/>
    </row>
    <row r="175" ht="14.25" customHeight="1">
      <c r="A175" s="5"/>
    </row>
    <row r="176" ht="14.25" customHeight="1">
      <c r="A176" s="5"/>
    </row>
    <row r="177" ht="14.25" customHeight="1">
      <c r="A177" s="5"/>
    </row>
    <row r="178" ht="14.25" customHeight="1">
      <c r="A178" s="5"/>
    </row>
    <row r="179" ht="14.25" customHeight="1">
      <c r="A179" s="5"/>
    </row>
    <row r="180" ht="14.25" customHeight="1">
      <c r="A180" s="5"/>
    </row>
    <row r="181" ht="14.25" customHeight="1">
      <c r="A181" s="5"/>
    </row>
    <row r="182" ht="14.25" customHeight="1">
      <c r="A182" s="5"/>
    </row>
    <row r="183" ht="14.25" customHeight="1">
      <c r="A183" s="5"/>
    </row>
    <row r="184" ht="14.25" customHeight="1">
      <c r="A184" s="5"/>
    </row>
    <row r="185" ht="14.25" customHeight="1">
      <c r="A185" s="5"/>
    </row>
    <row r="186" ht="14.25" customHeight="1">
      <c r="A186" s="5"/>
    </row>
    <row r="187" ht="14.25" customHeight="1">
      <c r="A187" s="5"/>
    </row>
    <row r="188" ht="14.25" customHeight="1">
      <c r="A188" s="5"/>
    </row>
    <row r="189" ht="14.25" customHeight="1">
      <c r="A189" s="5"/>
    </row>
    <row r="190" ht="14.25" customHeight="1">
      <c r="A190" s="5"/>
    </row>
    <row r="191" ht="14.25" customHeight="1">
      <c r="A191" s="5"/>
    </row>
    <row r="192" ht="14.25" customHeight="1">
      <c r="A192" s="5"/>
    </row>
    <row r="193" ht="14.25" customHeight="1">
      <c r="A193" s="5"/>
    </row>
    <row r="194" ht="14.25" customHeight="1">
      <c r="A194" s="5"/>
    </row>
    <row r="195" ht="14.25" customHeight="1">
      <c r="A195" s="5"/>
    </row>
    <row r="196" ht="14.25" customHeight="1">
      <c r="A196" s="5"/>
    </row>
    <row r="197" ht="14.25" customHeight="1">
      <c r="A197" s="5"/>
    </row>
    <row r="198" ht="14.25" customHeight="1">
      <c r="A198" s="5"/>
    </row>
    <row r="199" ht="14.25" customHeight="1">
      <c r="A199" s="5"/>
    </row>
    <row r="200" ht="14.25" customHeight="1">
      <c r="A200" s="5"/>
    </row>
    <row r="201" ht="14.25" customHeight="1">
      <c r="A201" s="5"/>
    </row>
    <row r="202" ht="14.25" customHeight="1">
      <c r="A202" s="5"/>
    </row>
    <row r="203" ht="14.25" customHeight="1">
      <c r="A203" s="5"/>
    </row>
    <row r="204" ht="14.25" customHeight="1">
      <c r="A204" s="5"/>
    </row>
    <row r="205" ht="14.25" customHeight="1">
      <c r="A205" s="5"/>
    </row>
    <row r="206" ht="14.25" customHeight="1">
      <c r="A206" s="5"/>
    </row>
    <row r="207" ht="14.25" customHeight="1">
      <c r="A207" s="5"/>
    </row>
    <row r="208" ht="14.25" customHeight="1">
      <c r="A208" s="5"/>
    </row>
    <row r="209" ht="14.25" customHeight="1">
      <c r="A209" s="5"/>
    </row>
    <row r="210" ht="14.25" customHeight="1">
      <c r="A210" s="5"/>
    </row>
    <row r="211" ht="14.25" customHeight="1">
      <c r="A211" s="5"/>
    </row>
    <row r="212" ht="14.25" customHeight="1">
      <c r="A212" s="5"/>
    </row>
    <row r="213" ht="14.25" customHeight="1">
      <c r="A213" s="5"/>
    </row>
    <row r="214" ht="14.25" customHeight="1">
      <c r="A214" s="5"/>
    </row>
    <row r="215" ht="14.25" customHeight="1">
      <c r="A215" s="5"/>
    </row>
    <row r="216" ht="14.25" customHeight="1">
      <c r="A216" s="5"/>
    </row>
    <row r="217" ht="14.25" customHeight="1">
      <c r="A217" s="5"/>
    </row>
    <row r="218" ht="14.25" customHeight="1">
      <c r="A218" s="5"/>
    </row>
    <row r="219" ht="14.25" customHeight="1">
      <c r="A219" s="5"/>
    </row>
    <row r="220" ht="14.25" customHeight="1">
      <c r="A220" s="5"/>
    </row>
    <row r="221" ht="14.25" customHeight="1">
      <c r="A221" s="5"/>
    </row>
    <row r="222" ht="14.25" customHeight="1">
      <c r="A222" s="5"/>
    </row>
    <row r="223" ht="14.25" customHeight="1">
      <c r="A223" s="5"/>
    </row>
    <row r="224" ht="14.25" customHeight="1">
      <c r="A224" s="5"/>
    </row>
    <row r="225" ht="14.25" customHeight="1">
      <c r="A225" s="5"/>
    </row>
    <row r="226" ht="14.25" customHeight="1">
      <c r="A226" s="5"/>
    </row>
    <row r="227" ht="14.25" customHeight="1">
      <c r="A227" s="5"/>
    </row>
    <row r="228" ht="14.25" customHeight="1">
      <c r="A228" s="5"/>
    </row>
    <row r="229" ht="14.25" customHeight="1">
      <c r="A229" s="5"/>
    </row>
    <row r="230" ht="14.25" customHeight="1">
      <c r="A230" s="5"/>
    </row>
    <row r="231" ht="14.25" customHeight="1">
      <c r="A231" s="5"/>
    </row>
    <row r="232" ht="14.25" customHeight="1">
      <c r="A232" s="5"/>
    </row>
    <row r="233" ht="14.25" customHeight="1">
      <c r="A233" s="5"/>
    </row>
    <row r="234" ht="14.25" customHeight="1">
      <c r="A234" s="5"/>
    </row>
    <row r="235" ht="14.25" customHeight="1">
      <c r="A235" s="5"/>
    </row>
    <row r="236" ht="14.25" customHeight="1">
      <c r="A236" s="5"/>
    </row>
    <row r="237" ht="14.25" customHeight="1">
      <c r="A237" s="5"/>
    </row>
    <row r="238" ht="14.25" customHeight="1">
      <c r="A238" s="5"/>
    </row>
    <row r="239" ht="14.25" customHeight="1">
      <c r="A239" s="5"/>
    </row>
    <row r="240" ht="14.25" customHeight="1">
      <c r="A240" s="5"/>
    </row>
    <row r="241" ht="14.25" customHeight="1">
      <c r="A241" s="5"/>
    </row>
    <row r="242" ht="14.25" customHeight="1">
      <c r="A242" s="5"/>
    </row>
    <row r="243" ht="14.25" customHeight="1">
      <c r="A243" s="5"/>
    </row>
    <row r="244" ht="14.25" customHeight="1">
      <c r="A244" s="5"/>
    </row>
    <row r="245" ht="14.25" customHeight="1">
      <c r="A245" s="5"/>
    </row>
    <row r="246" ht="14.25" customHeight="1">
      <c r="A246" s="5"/>
    </row>
    <row r="247" ht="14.25" customHeight="1">
      <c r="A247" s="5"/>
    </row>
    <row r="248" ht="14.25" customHeight="1">
      <c r="A248" s="5"/>
    </row>
    <row r="249" ht="14.25" customHeight="1">
      <c r="A249" s="5"/>
    </row>
    <row r="250" ht="14.25" customHeight="1">
      <c r="A250" s="5"/>
    </row>
    <row r="251" ht="14.25" customHeight="1">
      <c r="A251" s="5"/>
    </row>
    <row r="252" ht="14.25" customHeight="1">
      <c r="A252" s="5"/>
    </row>
    <row r="253" ht="14.25" customHeight="1">
      <c r="A253" s="5"/>
    </row>
    <row r="254" ht="14.25" customHeight="1">
      <c r="A254" s="5"/>
    </row>
    <row r="255" ht="14.25" customHeight="1">
      <c r="A255" s="5"/>
    </row>
    <row r="256" ht="14.25" customHeight="1">
      <c r="A256" s="5"/>
    </row>
    <row r="257" ht="14.25" customHeight="1">
      <c r="A257" s="5"/>
    </row>
    <row r="258" ht="14.25" customHeight="1">
      <c r="A258" s="5"/>
    </row>
    <row r="259" ht="14.25" customHeight="1">
      <c r="A259" s="5"/>
    </row>
    <row r="260" ht="14.25" customHeight="1">
      <c r="A260" s="5"/>
    </row>
    <row r="261" ht="14.25" customHeight="1">
      <c r="A261" s="5"/>
    </row>
    <row r="262" ht="14.25" customHeight="1">
      <c r="A262" s="5"/>
    </row>
    <row r="263" ht="14.25" customHeight="1">
      <c r="A263" s="5"/>
    </row>
    <row r="264" ht="14.25" customHeight="1">
      <c r="A264" s="5"/>
    </row>
    <row r="265" ht="14.25" customHeight="1">
      <c r="A265" s="5"/>
    </row>
    <row r="266" ht="14.25" customHeight="1">
      <c r="A266" s="5"/>
    </row>
    <row r="267" ht="14.25" customHeight="1">
      <c r="A267" s="5"/>
    </row>
    <row r="268" ht="14.25" customHeight="1">
      <c r="A268" s="5"/>
    </row>
    <row r="269" ht="14.25" customHeight="1">
      <c r="A269" s="5"/>
    </row>
    <row r="270" ht="14.25" customHeight="1">
      <c r="A270" s="5"/>
    </row>
    <row r="271" ht="14.25" customHeight="1">
      <c r="A271" s="5"/>
    </row>
    <row r="272" ht="14.25" customHeight="1">
      <c r="A272" s="5"/>
    </row>
    <row r="273" ht="14.25" customHeight="1">
      <c r="A273" s="5"/>
    </row>
    <row r="274" ht="14.25" customHeight="1">
      <c r="A274" s="5"/>
    </row>
    <row r="275" ht="14.25" customHeight="1">
      <c r="A275" s="5"/>
    </row>
    <row r="276" ht="14.25" customHeight="1">
      <c r="A276" s="5"/>
    </row>
    <row r="277" ht="14.25" customHeight="1">
      <c r="A277" s="5"/>
    </row>
    <row r="278" ht="14.25" customHeight="1">
      <c r="A278" s="5"/>
    </row>
    <row r="279" ht="14.25" customHeight="1">
      <c r="A279" s="5"/>
    </row>
    <row r="280" ht="14.25" customHeight="1">
      <c r="A280" s="5"/>
    </row>
    <row r="281" ht="14.25" customHeight="1">
      <c r="A281" s="5"/>
    </row>
    <row r="282" ht="14.25" customHeight="1">
      <c r="A282" s="5"/>
    </row>
    <row r="283" ht="14.25" customHeight="1">
      <c r="A283" s="5"/>
    </row>
    <row r="284" ht="14.25" customHeight="1">
      <c r="A284" s="5"/>
    </row>
    <row r="285" ht="14.25" customHeight="1">
      <c r="A285" s="5"/>
    </row>
    <row r="286" ht="14.25" customHeight="1">
      <c r="A286" s="5"/>
    </row>
    <row r="287" ht="14.25" customHeight="1">
      <c r="A287" s="5"/>
    </row>
    <row r="288" ht="14.25" customHeight="1">
      <c r="A288" s="5"/>
    </row>
    <row r="289" ht="14.25" customHeight="1">
      <c r="A289" s="5"/>
    </row>
    <row r="290" ht="14.25" customHeight="1">
      <c r="A290" s="5"/>
    </row>
    <row r="291" ht="14.25" customHeight="1">
      <c r="A291" s="5"/>
    </row>
    <row r="292" ht="14.25" customHeight="1">
      <c r="A292" s="5"/>
    </row>
    <row r="293" ht="14.25" customHeight="1">
      <c r="A293" s="5"/>
    </row>
    <row r="294" ht="14.25" customHeight="1">
      <c r="A294" s="5"/>
    </row>
    <row r="295" ht="14.25" customHeight="1">
      <c r="A295" s="5"/>
    </row>
    <row r="296" ht="14.25" customHeight="1">
      <c r="A296" s="5"/>
    </row>
    <row r="297" ht="14.25" customHeight="1">
      <c r="A297" s="5"/>
    </row>
    <row r="298" ht="14.25" customHeight="1">
      <c r="A298" s="5"/>
    </row>
    <row r="299" ht="14.25" customHeight="1">
      <c r="A299" s="5"/>
    </row>
    <row r="300" ht="14.25" customHeight="1">
      <c r="A300" s="5"/>
    </row>
    <row r="301" ht="14.25" customHeight="1">
      <c r="A301" s="5"/>
    </row>
    <row r="302" ht="14.25" customHeight="1">
      <c r="A302" s="5"/>
    </row>
    <row r="303" ht="14.25" customHeight="1">
      <c r="A303" s="5"/>
    </row>
    <row r="304" ht="14.25" customHeight="1">
      <c r="A304" s="5"/>
    </row>
    <row r="305" ht="14.25" customHeight="1">
      <c r="A305" s="5"/>
    </row>
    <row r="306" ht="14.25" customHeight="1">
      <c r="A306" s="5"/>
    </row>
    <row r="307" ht="14.25" customHeight="1">
      <c r="A307" s="5"/>
    </row>
    <row r="308" ht="14.25" customHeight="1">
      <c r="A308" s="5"/>
    </row>
    <row r="309" ht="14.25" customHeight="1">
      <c r="A309" s="5"/>
    </row>
    <row r="310" ht="14.25" customHeight="1">
      <c r="A310" s="5"/>
    </row>
    <row r="311" ht="14.25" customHeight="1">
      <c r="A311" s="5"/>
    </row>
    <row r="312" ht="14.25" customHeight="1">
      <c r="A312" s="5"/>
    </row>
    <row r="313" ht="14.25" customHeight="1">
      <c r="A313" s="5"/>
    </row>
    <row r="314" ht="14.25" customHeight="1">
      <c r="A314" s="5"/>
    </row>
    <row r="315" ht="14.25" customHeight="1">
      <c r="A315" s="5"/>
    </row>
    <row r="316" ht="14.25" customHeight="1">
      <c r="A316" s="5"/>
    </row>
    <row r="317" ht="14.25" customHeight="1">
      <c r="A317" s="5"/>
    </row>
    <row r="318" ht="14.25" customHeight="1">
      <c r="A318" s="5"/>
    </row>
    <row r="319" ht="14.25" customHeight="1">
      <c r="A319" s="5"/>
    </row>
    <row r="320" ht="14.25" customHeight="1">
      <c r="A320" s="5"/>
    </row>
    <row r="321" ht="14.25" customHeight="1">
      <c r="A321" s="5"/>
    </row>
    <row r="322" ht="14.25" customHeight="1">
      <c r="A322" s="5"/>
    </row>
    <row r="323" ht="14.25" customHeight="1">
      <c r="A323" s="5"/>
    </row>
    <row r="324" ht="14.25" customHeight="1">
      <c r="A324" s="5"/>
    </row>
    <row r="325" ht="14.25" customHeight="1">
      <c r="A325" s="5"/>
    </row>
    <row r="326" ht="14.25" customHeight="1">
      <c r="A326" s="5"/>
    </row>
    <row r="327" ht="14.25" customHeight="1">
      <c r="A327" s="5"/>
    </row>
    <row r="328" ht="14.25" customHeight="1">
      <c r="A328" s="5"/>
    </row>
    <row r="329" ht="14.25" customHeight="1">
      <c r="A329" s="5"/>
    </row>
    <row r="330" ht="14.25" customHeight="1">
      <c r="A330" s="5"/>
    </row>
    <row r="331" ht="14.25" customHeight="1">
      <c r="A331" s="5"/>
    </row>
    <row r="332" ht="14.25" customHeight="1">
      <c r="A332" s="5"/>
    </row>
    <row r="333" ht="14.25" customHeight="1">
      <c r="A333" s="5"/>
    </row>
    <row r="334" ht="14.25" customHeight="1">
      <c r="A334" s="5"/>
    </row>
    <row r="335" ht="14.25" customHeight="1">
      <c r="A335" s="5"/>
    </row>
    <row r="336" ht="14.25" customHeight="1">
      <c r="A336" s="5"/>
    </row>
    <row r="337" ht="14.25" customHeight="1">
      <c r="A337" s="5"/>
    </row>
    <row r="338" ht="14.25" customHeight="1">
      <c r="A338" s="5"/>
    </row>
    <row r="339" ht="14.25" customHeight="1">
      <c r="A339" s="5"/>
    </row>
    <row r="340" ht="14.25" customHeight="1">
      <c r="A340" s="5"/>
    </row>
    <row r="341" ht="14.25" customHeight="1">
      <c r="A341" s="5"/>
    </row>
    <row r="342" ht="14.25" customHeight="1">
      <c r="A342" s="5"/>
    </row>
    <row r="343" ht="14.25" customHeight="1">
      <c r="A343" s="5"/>
    </row>
    <row r="344" ht="14.25" customHeight="1">
      <c r="A344" s="5"/>
    </row>
    <row r="345" ht="14.25" customHeight="1">
      <c r="A345" s="5"/>
    </row>
    <row r="346" ht="14.25" customHeight="1">
      <c r="A346" s="5"/>
    </row>
    <row r="347" ht="14.25" customHeight="1">
      <c r="A347" s="5"/>
    </row>
    <row r="348" ht="14.25" customHeight="1">
      <c r="A348" s="5"/>
    </row>
    <row r="349" ht="14.25" customHeight="1">
      <c r="A349" s="5"/>
    </row>
    <row r="350" ht="14.25" customHeight="1">
      <c r="A350" s="5"/>
    </row>
    <row r="351" ht="14.25" customHeight="1">
      <c r="A351" s="5"/>
    </row>
    <row r="352" ht="14.25" customHeight="1">
      <c r="A352" s="5"/>
    </row>
    <row r="353" ht="14.25" customHeight="1">
      <c r="A353" s="5"/>
    </row>
    <row r="354" ht="14.25" customHeight="1">
      <c r="A354" s="5"/>
    </row>
    <row r="355" ht="14.25" customHeight="1">
      <c r="A355" s="5"/>
    </row>
    <row r="356" ht="14.25" customHeight="1">
      <c r="A356" s="5"/>
    </row>
    <row r="357" ht="14.25" customHeight="1">
      <c r="A357" s="5"/>
    </row>
    <row r="358" ht="14.25" customHeight="1">
      <c r="A358" s="5"/>
    </row>
    <row r="359" ht="14.25" customHeight="1">
      <c r="A359" s="5"/>
    </row>
    <row r="360" ht="14.25" customHeight="1">
      <c r="A360" s="5"/>
    </row>
    <row r="361" ht="14.25" customHeight="1">
      <c r="A361" s="5"/>
    </row>
    <row r="362" ht="14.25" customHeight="1">
      <c r="A362" s="5"/>
    </row>
    <row r="363" ht="14.25" customHeight="1">
      <c r="A363" s="5"/>
    </row>
    <row r="364" ht="14.25" customHeight="1">
      <c r="A364" s="5"/>
    </row>
    <row r="365" ht="14.25" customHeight="1">
      <c r="A365" s="5"/>
    </row>
    <row r="366" ht="14.25" customHeight="1">
      <c r="A366" s="5"/>
    </row>
    <row r="367" ht="14.25" customHeight="1">
      <c r="A367" s="5"/>
    </row>
    <row r="368" ht="14.25" customHeight="1">
      <c r="A368" s="5"/>
    </row>
    <row r="369" ht="14.25" customHeight="1">
      <c r="A369" s="5"/>
    </row>
    <row r="370" ht="14.25" customHeight="1">
      <c r="A370" s="5"/>
    </row>
    <row r="371" ht="14.25" customHeight="1">
      <c r="A371" s="5"/>
    </row>
    <row r="372" ht="14.25" customHeight="1">
      <c r="A372" s="5"/>
    </row>
    <row r="373" ht="14.25" customHeight="1">
      <c r="A373" s="5"/>
    </row>
    <row r="374" ht="14.25" customHeight="1">
      <c r="A374" s="5"/>
    </row>
    <row r="375" ht="14.25" customHeight="1">
      <c r="A375" s="5"/>
    </row>
    <row r="376" ht="14.25" customHeight="1">
      <c r="A376" s="5"/>
    </row>
    <row r="377" ht="14.25" customHeight="1">
      <c r="A377" s="5"/>
    </row>
    <row r="378" ht="14.25" customHeight="1">
      <c r="A378" s="5"/>
    </row>
    <row r="379" ht="14.25" customHeight="1">
      <c r="A379" s="5"/>
    </row>
    <row r="380" ht="14.25" customHeight="1">
      <c r="A380" s="5"/>
    </row>
    <row r="381" ht="14.25" customHeight="1">
      <c r="A381" s="5"/>
    </row>
    <row r="382" ht="14.25" customHeight="1">
      <c r="A382" s="5"/>
    </row>
    <row r="383" ht="14.25" customHeight="1">
      <c r="A383" s="5"/>
    </row>
    <row r="384" ht="14.25" customHeight="1">
      <c r="A384" s="5"/>
    </row>
    <row r="385" ht="14.25" customHeight="1">
      <c r="A385" s="5"/>
    </row>
    <row r="386" ht="14.25" customHeight="1">
      <c r="A386" s="5"/>
    </row>
    <row r="387" ht="14.25" customHeight="1">
      <c r="A387" s="5"/>
    </row>
    <row r="388" ht="14.25" customHeight="1">
      <c r="A388" s="5"/>
    </row>
    <row r="389" ht="14.25" customHeight="1">
      <c r="A389" s="5"/>
    </row>
    <row r="390" ht="14.25" customHeight="1">
      <c r="A390" s="5"/>
    </row>
    <row r="391" ht="14.25" customHeight="1">
      <c r="A391" s="5"/>
    </row>
    <row r="392" ht="14.25" customHeight="1">
      <c r="A392" s="5"/>
    </row>
    <row r="393" ht="14.25" customHeight="1">
      <c r="A393" s="5"/>
    </row>
    <row r="394" ht="14.25" customHeight="1">
      <c r="A394" s="5"/>
    </row>
    <row r="395" ht="14.25" customHeight="1">
      <c r="A395" s="5"/>
    </row>
    <row r="396" ht="14.25" customHeight="1">
      <c r="A396" s="5"/>
    </row>
    <row r="397" ht="14.25" customHeight="1">
      <c r="A397" s="5"/>
    </row>
    <row r="398" ht="14.25" customHeight="1">
      <c r="A398" s="5"/>
    </row>
    <row r="399" ht="14.25" customHeight="1">
      <c r="A399" s="5"/>
    </row>
    <row r="400" ht="14.25" customHeight="1">
      <c r="A400" s="5"/>
    </row>
    <row r="401" ht="14.25" customHeight="1">
      <c r="A401" s="5"/>
    </row>
    <row r="402" ht="14.25" customHeight="1">
      <c r="A402" s="5"/>
    </row>
    <row r="403" ht="14.25" customHeight="1">
      <c r="A403" s="5"/>
    </row>
    <row r="404" ht="14.25" customHeight="1">
      <c r="A404" s="5"/>
    </row>
    <row r="405" ht="14.25" customHeight="1">
      <c r="A405" s="5"/>
    </row>
    <row r="406" ht="14.25" customHeight="1">
      <c r="A406" s="5"/>
    </row>
    <row r="407" ht="14.25" customHeight="1">
      <c r="A407" s="5"/>
    </row>
    <row r="408" ht="14.25" customHeight="1">
      <c r="A408" s="5"/>
    </row>
    <row r="409" ht="14.25" customHeight="1">
      <c r="A409" s="5"/>
    </row>
    <row r="410" ht="14.25" customHeight="1">
      <c r="A410" s="5"/>
    </row>
    <row r="411" ht="14.25" customHeight="1">
      <c r="A411" s="5"/>
    </row>
    <row r="412" ht="14.25" customHeight="1">
      <c r="A412" s="5"/>
    </row>
    <row r="413" ht="14.25" customHeight="1">
      <c r="A413" s="5"/>
    </row>
    <row r="414" ht="14.25" customHeight="1">
      <c r="A414" s="5"/>
    </row>
    <row r="415" ht="14.25" customHeight="1">
      <c r="A415" s="5"/>
    </row>
    <row r="416" ht="14.25" customHeight="1">
      <c r="A416" s="5"/>
    </row>
    <row r="417" ht="14.25" customHeight="1">
      <c r="A417" s="5"/>
    </row>
    <row r="418" ht="14.25" customHeight="1">
      <c r="A418" s="5"/>
    </row>
    <row r="419" ht="14.25" customHeight="1">
      <c r="A419" s="5"/>
    </row>
    <row r="420" ht="14.25" customHeight="1">
      <c r="A420" s="5"/>
    </row>
    <row r="421" ht="14.25" customHeight="1">
      <c r="A421" s="5"/>
    </row>
    <row r="422" ht="14.25" customHeight="1">
      <c r="A422" s="5"/>
    </row>
    <row r="423" ht="14.25" customHeight="1">
      <c r="A423" s="5"/>
    </row>
    <row r="424" ht="14.25" customHeight="1">
      <c r="A424" s="5"/>
    </row>
    <row r="425" ht="14.25" customHeight="1">
      <c r="A425" s="5"/>
    </row>
    <row r="426" ht="14.25" customHeight="1">
      <c r="A426" s="5"/>
    </row>
    <row r="427" ht="14.25" customHeight="1">
      <c r="A427" s="5"/>
    </row>
    <row r="428" ht="14.25" customHeight="1">
      <c r="A428" s="5"/>
    </row>
    <row r="429" ht="14.25" customHeight="1">
      <c r="A429" s="5"/>
    </row>
    <row r="430" ht="14.25" customHeight="1">
      <c r="A430" s="5"/>
    </row>
    <row r="431" ht="14.25" customHeight="1">
      <c r="A431" s="5"/>
    </row>
    <row r="432" ht="14.25" customHeight="1">
      <c r="A432" s="5"/>
    </row>
    <row r="433" ht="14.25" customHeight="1">
      <c r="A433" s="5"/>
    </row>
    <row r="434" ht="14.25" customHeight="1">
      <c r="A434" s="5"/>
    </row>
    <row r="435" ht="14.25" customHeight="1">
      <c r="A435" s="5"/>
    </row>
    <row r="436" ht="14.25" customHeight="1">
      <c r="A436" s="5"/>
    </row>
    <row r="437" ht="14.25" customHeight="1">
      <c r="A437" s="5"/>
    </row>
    <row r="438" ht="14.25" customHeight="1">
      <c r="A438" s="5"/>
    </row>
    <row r="439" ht="14.25" customHeight="1">
      <c r="A439" s="5"/>
    </row>
    <row r="440" ht="14.25" customHeight="1">
      <c r="A440" s="5"/>
    </row>
    <row r="441" ht="14.25" customHeight="1">
      <c r="A441" s="5"/>
    </row>
    <row r="442" ht="14.25" customHeight="1">
      <c r="A442" s="5"/>
    </row>
    <row r="443" ht="14.25" customHeight="1">
      <c r="A443" s="5"/>
    </row>
    <row r="444" ht="14.25" customHeight="1">
      <c r="A444" s="5"/>
    </row>
    <row r="445" ht="14.25" customHeight="1">
      <c r="A445" s="5"/>
    </row>
    <row r="446" ht="14.25" customHeight="1">
      <c r="A446" s="5"/>
    </row>
    <row r="447" ht="14.25" customHeight="1">
      <c r="A447" s="5"/>
    </row>
    <row r="448" ht="14.25" customHeight="1">
      <c r="A448" s="5"/>
    </row>
    <row r="449" ht="14.25" customHeight="1">
      <c r="A449" s="5"/>
    </row>
    <row r="450" ht="14.25" customHeight="1">
      <c r="A450" s="5"/>
    </row>
    <row r="451" ht="14.25" customHeight="1">
      <c r="A451" s="5"/>
    </row>
    <row r="452" ht="14.25" customHeight="1">
      <c r="A452" s="5"/>
    </row>
    <row r="453" ht="14.25" customHeight="1">
      <c r="A453" s="5"/>
    </row>
    <row r="454" ht="14.25" customHeight="1">
      <c r="A454" s="5"/>
    </row>
    <row r="455" ht="14.25" customHeight="1">
      <c r="A455" s="5"/>
    </row>
    <row r="456" ht="14.25" customHeight="1">
      <c r="A456" s="5"/>
    </row>
    <row r="457" ht="14.25" customHeight="1">
      <c r="A457" s="5"/>
    </row>
    <row r="458" ht="14.25" customHeight="1">
      <c r="A458" s="5"/>
    </row>
    <row r="459" ht="14.25" customHeight="1">
      <c r="A459" s="5"/>
    </row>
    <row r="460" ht="14.25" customHeight="1">
      <c r="A460" s="5"/>
    </row>
    <row r="461" ht="14.25" customHeight="1">
      <c r="A461" s="5"/>
    </row>
    <row r="462" ht="14.25" customHeight="1">
      <c r="A462" s="5"/>
    </row>
    <row r="463" ht="14.25" customHeight="1">
      <c r="A463" s="5"/>
    </row>
    <row r="464" ht="14.25" customHeight="1">
      <c r="A464" s="5"/>
    </row>
    <row r="465" ht="14.25" customHeight="1">
      <c r="A465" s="5"/>
    </row>
    <row r="466" ht="14.25" customHeight="1">
      <c r="A466" s="5"/>
    </row>
    <row r="467" ht="14.25" customHeight="1">
      <c r="A467" s="5"/>
    </row>
    <row r="468" ht="14.25" customHeight="1">
      <c r="A468" s="5"/>
    </row>
    <row r="469" ht="14.25" customHeight="1">
      <c r="A469" s="5"/>
    </row>
    <row r="470" ht="14.25" customHeight="1">
      <c r="A470" s="5"/>
    </row>
    <row r="471" ht="14.25" customHeight="1">
      <c r="A471" s="5"/>
    </row>
    <row r="472" ht="14.25" customHeight="1">
      <c r="A472" s="5"/>
    </row>
    <row r="473" ht="14.25" customHeight="1">
      <c r="A473" s="5"/>
    </row>
    <row r="474" ht="14.25" customHeight="1">
      <c r="A474" s="5"/>
    </row>
    <row r="475" ht="14.25" customHeight="1">
      <c r="A475" s="5"/>
    </row>
    <row r="476" ht="14.25" customHeight="1">
      <c r="A476" s="5"/>
    </row>
    <row r="477" ht="14.25" customHeight="1">
      <c r="A477" s="5"/>
    </row>
    <row r="478" ht="14.25" customHeight="1">
      <c r="A478" s="5"/>
    </row>
    <row r="479" ht="14.25" customHeight="1">
      <c r="A479" s="5"/>
    </row>
    <row r="480" ht="14.25" customHeight="1">
      <c r="A480" s="5"/>
    </row>
    <row r="481" ht="14.25" customHeight="1">
      <c r="A481" s="5"/>
    </row>
    <row r="482" ht="14.25" customHeight="1">
      <c r="A482" s="5"/>
    </row>
    <row r="483" ht="14.25" customHeight="1">
      <c r="A483" s="5"/>
    </row>
    <row r="484" ht="14.25" customHeight="1">
      <c r="A484" s="5"/>
    </row>
    <row r="485" ht="14.25" customHeight="1">
      <c r="A485" s="5"/>
    </row>
    <row r="486" ht="14.25" customHeight="1">
      <c r="A486" s="5"/>
    </row>
    <row r="487" ht="14.25" customHeight="1">
      <c r="A487" s="5"/>
    </row>
    <row r="488" ht="14.25" customHeight="1">
      <c r="A488" s="5"/>
    </row>
    <row r="489" ht="14.25" customHeight="1">
      <c r="A489" s="5"/>
    </row>
    <row r="490" ht="14.25" customHeight="1">
      <c r="A490" s="5"/>
    </row>
    <row r="491" ht="14.25" customHeight="1">
      <c r="A491" s="5"/>
    </row>
    <row r="492" ht="14.25" customHeight="1">
      <c r="A492" s="5"/>
    </row>
    <row r="493" ht="14.25" customHeight="1">
      <c r="A493" s="5"/>
    </row>
    <row r="494" ht="14.25" customHeight="1">
      <c r="A494" s="5"/>
    </row>
    <row r="495" ht="14.25" customHeight="1">
      <c r="A495" s="5"/>
    </row>
    <row r="496" ht="14.25" customHeight="1">
      <c r="A496" s="5"/>
    </row>
    <row r="497" ht="14.25" customHeight="1">
      <c r="A497" s="5"/>
    </row>
    <row r="498" ht="14.25" customHeight="1">
      <c r="A498" s="5"/>
    </row>
    <row r="499" ht="14.25" customHeight="1">
      <c r="A499" s="5"/>
    </row>
    <row r="500" ht="14.25" customHeight="1">
      <c r="A500" s="5"/>
    </row>
    <row r="501" ht="14.25" customHeight="1">
      <c r="A501" s="5"/>
    </row>
    <row r="502" ht="14.25" customHeight="1">
      <c r="A502" s="5"/>
    </row>
    <row r="503" ht="14.25" customHeight="1">
      <c r="A503" s="5"/>
    </row>
    <row r="504" ht="14.25" customHeight="1">
      <c r="A504" s="5"/>
    </row>
    <row r="505" ht="14.25" customHeight="1">
      <c r="A505" s="5"/>
    </row>
    <row r="506" ht="14.25" customHeight="1">
      <c r="A506" s="5"/>
    </row>
    <row r="507" ht="14.25" customHeight="1">
      <c r="A507" s="5"/>
    </row>
    <row r="508" ht="14.25" customHeight="1">
      <c r="A508" s="5"/>
    </row>
    <row r="509" ht="14.25" customHeight="1">
      <c r="A509" s="5"/>
    </row>
    <row r="510" ht="14.25" customHeight="1">
      <c r="A510" s="5"/>
    </row>
    <row r="511" ht="14.25" customHeight="1">
      <c r="A511" s="5"/>
    </row>
    <row r="512" ht="14.25" customHeight="1">
      <c r="A512" s="5"/>
    </row>
    <row r="513" ht="14.25" customHeight="1">
      <c r="A513" s="5"/>
    </row>
    <row r="514" ht="14.25" customHeight="1">
      <c r="A514" s="5"/>
    </row>
    <row r="515" ht="14.25" customHeight="1">
      <c r="A515" s="5"/>
    </row>
    <row r="516" ht="14.25" customHeight="1">
      <c r="A516" s="5"/>
    </row>
    <row r="517" ht="14.25" customHeight="1">
      <c r="A517" s="5"/>
    </row>
    <row r="518" ht="14.25" customHeight="1">
      <c r="A518" s="5"/>
    </row>
    <row r="519" ht="14.25" customHeight="1">
      <c r="A519" s="5"/>
    </row>
    <row r="520" ht="14.25" customHeight="1">
      <c r="A520" s="5"/>
    </row>
    <row r="521" ht="14.25" customHeight="1">
      <c r="A521" s="5"/>
    </row>
    <row r="522" ht="14.25" customHeight="1">
      <c r="A522" s="5"/>
    </row>
    <row r="523" ht="14.25" customHeight="1">
      <c r="A523" s="5"/>
    </row>
    <row r="524" ht="14.25" customHeight="1">
      <c r="A524" s="5"/>
    </row>
    <row r="525" ht="14.25" customHeight="1">
      <c r="A525" s="5"/>
    </row>
    <row r="526" ht="14.25" customHeight="1">
      <c r="A526" s="5"/>
    </row>
    <row r="527" ht="14.25" customHeight="1">
      <c r="A527" s="5"/>
    </row>
    <row r="528" ht="14.25" customHeight="1">
      <c r="A528" s="5"/>
    </row>
    <row r="529" ht="14.25" customHeight="1">
      <c r="A529" s="5"/>
    </row>
    <row r="530" ht="14.25" customHeight="1">
      <c r="A530" s="5"/>
    </row>
    <row r="531" ht="14.25" customHeight="1">
      <c r="A531" s="5"/>
    </row>
    <row r="532" ht="14.25" customHeight="1">
      <c r="A532" s="5"/>
    </row>
    <row r="533" ht="14.25" customHeight="1">
      <c r="A533" s="5"/>
    </row>
    <row r="534" ht="14.25" customHeight="1">
      <c r="A534" s="5"/>
    </row>
    <row r="535" ht="14.25" customHeight="1">
      <c r="A535" s="5"/>
    </row>
    <row r="536" ht="14.25" customHeight="1">
      <c r="A536" s="5"/>
    </row>
    <row r="537" ht="14.25" customHeight="1">
      <c r="A537" s="5"/>
    </row>
    <row r="538" ht="14.25" customHeight="1">
      <c r="A538" s="5"/>
    </row>
    <row r="539" ht="14.25" customHeight="1">
      <c r="A539" s="5"/>
    </row>
    <row r="540" ht="14.25" customHeight="1">
      <c r="A540" s="5"/>
    </row>
    <row r="541" ht="14.25" customHeight="1">
      <c r="A541" s="5"/>
    </row>
    <row r="542" ht="14.25" customHeight="1">
      <c r="A542" s="5"/>
    </row>
    <row r="543" ht="14.25" customHeight="1">
      <c r="A543" s="5"/>
    </row>
    <row r="544" ht="14.25" customHeight="1">
      <c r="A544" s="5"/>
    </row>
    <row r="545" ht="14.25" customHeight="1">
      <c r="A545" s="5"/>
    </row>
    <row r="546" ht="14.25" customHeight="1">
      <c r="A546" s="5"/>
    </row>
    <row r="547" ht="14.25" customHeight="1">
      <c r="A547" s="5"/>
    </row>
    <row r="548" ht="14.25" customHeight="1">
      <c r="A548" s="5"/>
    </row>
    <row r="549" ht="14.25" customHeight="1">
      <c r="A549" s="5"/>
    </row>
    <row r="550" ht="14.25" customHeight="1">
      <c r="A550" s="5"/>
    </row>
    <row r="551" ht="14.25" customHeight="1">
      <c r="A551" s="5"/>
    </row>
    <row r="552" ht="14.25" customHeight="1">
      <c r="A552" s="5"/>
    </row>
    <row r="553" ht="14.25" customHeight="1">
      <c r="A553" s="5"/>
    </row>
    <row r="554" ht="14.25" customHeight="1">
      <c r="A554" s="5"/>
    </row>
    <row r="555" ht="14.25" customHeight="1">
      <c r="A555" s="5"/>
    </row>
    <row r="556" ht="14.25" customHeight="1">
      <c r="A556" s="5"/>
    </row>
    <row r="557" ht="14.25" customHeight="1">
      <c r="A557" s="5"/>
    </row>
    <row r="558" ht="14.25" customHeight="1">
      <c r="A558" s="5"/>
    </row>
    <row r="559" ht="14.25" customHeight="1">
      <c r="A559" s="5"/>
    </row>
    <row r="560" ht="14.25" customHeight="1">
      <c r="A560" s="5"/>
    </row>
    <row r="561" ht="14.25" customHeight="1">
      <c r="A561" s="5"/>
    </row>
    <row r="562" ht="14.25" customHeight="1">
      <c r="A562" s="5"/>
    </row>
    <row r="563" ht="14.25" customHeight="1">
      <c r="A563" s="5"/>
    </row>
    <row r="564" ht="14.25" customHeight="1">
      <c r="A564" s="5"/>
    </row>
    <row r="565" ht="14.25" customHeight="1">
      <c r="A565" s="5"/>
    </row>
    <row r="566" ht="14.25" customHeight="1">
      <c r="A566" s="5"/>
    </row>
    <row r="567" ht="14.25" customHeight="1">
      <c r="A567" s="5"/>
    </row>
    <row r="568" ht="14.25" customHeight="1">
      <c r="A568" s="5"/>
    </row>
    <row r="569" ht="14.25" customHeight="1">
      <c r="A569" s="5"/>
    </row>
    <row r="570" ht="14.25" customHeight="1">
      <c r="A570" s="5"/>
    </row>
    <row r="571" ht="14.25" customHeight="1">
      <c r="A571" s="5"/>
    </row>
    <row r="572" ht="14.25" customHeight="1">
      <c r="A572" s="5"/>
    </row>
    <row r="573" ht="14.25" customHeight="1">
      <c r="A573" s="5"/>
    </row>
    <row r="574" ht="14.25" customHeight="1">
      <c r="A574" s="5"/>
    </row>
    <row r="575" ht="14.25" customHeight="1">
      <c r="A575" s="5"/>
    </row>
    <row r="576" ht="14.25" customHeight="1">
      <c r="A576" s="5"/>
    </row>
    <row r="577" ht="14.25" customHeight="1">
      <c r="A577" s="5"/>
    </row>
    <row r="578" ht="14.25" customHeight="1">
      <c r="A578" s="5"/>
    </row>
    <row r="579" ht="14.25" customHeight="1">
      <c r="A579" s="5"/>
    </row>
    <row r="580" ht="14.25" customHeight="1">
      <c r="A580" s="5"/>
    </row>
    <row r="581" ht="14.25" customHeight="1">
      <c r="A581" s="5"/>
    </row>
    <row r="582" ht="14.25" customHeight="1">
      <c r="A582" s="5"/>
    </row>
    <row r="583" ht="14.25" customHeight="1">
      <c r="A583" s="5"/>
    </row>
    <row r="584" ht="14.25" customHeight="1">
      <c r="A584" s="5"/>
    </row>
    <row r="585" ht="14.25" customHeight="1">
      <c r="A585" s="5"/>
    </row>
    <row r="586" ht="14.25" customHeight="1">
      <c r="A586" s="5"/>
    </row>
    <row r="587" ht="14.25" customHeight="1">
      <c r="A587" s="5"/>
    </row>
    <row r="588" ht="14.25" customHeight="1">
      <c r="A588" s="5"/>
    </row>
    <row r="589" ht="14.25" customHeight="1">
      <c r="A589" s="5"/>
    </row>
    <row r="590" ht="14.25" customHeight="1">
      <c r="A590" s="5"/>
    </row>
    <row r="591" ht="14.25" customHeight="1">
      <c r="A591" s="5"/>
    </row>
    <row r="592" ht="14.25" customHeight="1">
      <c r="A592" s="5"/>
    </row>
    <row r="593" ht="14.25" customHeight="1">
      <c r="A593" s="5"/>
    </row>
    <row r="594" ht="14.25" customHeight="1">
      <c r="A594" s="5"/>
    </row>
    <row r="595" ht="14.25" customHeight="1">
      <c r="A595" s="5"/>
    </row>
    <row r="596" ht="14.25" customHeight="1">
      <c r="A596" s="5"/>
    </row>
    <row r="597" ht="14.25" customHeight="1">
      <c r="A597" s="5"/>
    </row>
    <row r="598" ht="14.25" customHeight="1">
      <c r="A598" s="5"/>
    </row>
    <row r="599" ht="14.25" customHeight="1">
      <c r="A599" s="5"/>
    </row>
    <row r="600" ht="14.25" customHeight="1">
      <c r="A600" s="5"/>
    </row>
    <row r="601" ht="14.25" customHeight="1">
      <c r="A601" s="5"/>
    </row>
    <row r="602" ht="14.25" customHeight="1">
      <c r="A602" s="5"/>
    </row>
    <row r="603" ht="14.25" customHeight="1">
      <c r="A603" s="5"/>
    </row>
    <row r="604" ht="14.25" customHeight="1">
      <c r="A604" s="5"/>
    </row>
    <row r="605" ht="14.25" customHeight="1">
      <c r="A605" s="5"/>
    </row>
    <row r="606" ht="14.25" customHeight="1">
      <c r="A606" s="5"/>
    </row>
    <row r="607" ht="14.25" customHeight="1">
      <c r="A607" s="5"/>
    </row>
    <row r="608" ht="14.25" customHeight="1">
      <c r="A608" s="5"/>
    </row>
    <row r="609" ht="14.25" customHeight="1">
      <c r="A609" s="5"/>
    </row>
    <row r="610" ht="14.25" customHeight="1">
      <c r="A610" s="5"/>
    </row>
    <row r="611" ht="14.25" customHeight="1">
      <c r="A611" s="5"/>
    </row>
    <row r="612" ht="14.25" customHeight="1">
      <c r="A612" s="5"/>
    </row>
    <row r="613" ht="14.25" customHeight="1">
      <c r="A613" s="5"/>
    </row>
    <row r="614" ht="14.25" customHeight="1">
      <c r="A614" s="5"/>
    </row>
    <row r="615" ht="14.25" customHeight="1">
      <c r="A615" s="5"/>
    </row>
    <row r="616" ht="14.25" customHeight="1">
      <c r="A616" s="5"/>
    </row>
    <row r="617" ht="14.25" customHeight="1">
      <c r="A617" s="5"/>
    </row>
    <row r="618" ht="14.25" customHeight="1">
      <c r="A618" s="5"/>
    </row>
    <row r="619" ht="14.25" customHeight="1">
      <c r="A619" s="5"/>
    </row>
    <row r="620" ht="14.25" customHeight="1">
      <c r="A620" s="5"/>
    </row>
    <row r="621" ht="14.25" customHeight="1">
      <c r="A621" s="5"/>
    </row>
    <row r="622" ht="14.25" customHeight="1">
      <c r="A622" s="5"/>
    </row>
    <row r="623" ht="14.25" customHeight="1">
      <c r="A623" s="5"/>
    </row>
    <row r="624" ht="14.25" customHeight="1">
      <c r="A624" s="5"/>
    </row>
    <row r="625" ht="14.25" customHeight="1">
      <c r="A625" s="5"/>
    </row>
    <row r="626" ht="14.25" customHeight="1">
      <c r="A626" s="5"/>
    </row>
    <row r="627" ht="14.25" customHeight="1">
      <c r="A627" s="5"/>
    </row>
    <row r="628" ht="14.25" customHeight="1">
      <c r="A628" s="5"/>
    </row>
    <row r="629" ht="14.25" customHeight="1">
      <c r="A629" s="5"/>
    </row>
    <row r="630" ht="14.25" customHeight="1">
      <c r="A630" s="5"/>
    </row>
    <row r="631" ht="14.25" customHeight="1">
      <c r="A631" s="5"/>
    </row>
    <row r="632" ht="14.25" customHeight="1">
      <c r="A632" s="5"/>
    </row>
    <row r="633" ht="14.25" customHeight="1">
      <c r="A633" s="5"/>
    </row>
    <row r="634" ht="14.25" customHeight="1">
      <c r="A634" s="5"/>
    </row>
    <row r="635" ht="14.25" customHeight="1">
      <c r="A635" s="5"/>
    </row>
    <row r="636" ht="14.25" customHeight="1">
      <c r="A636" s="5"/>
    </row>
    <row r="637" ht="14.25" customHeight="1">
      <c r="A637" s="5"/>
    </row>
    <row r="638" ht="14.25" customHeight="1">
      <c r="A638" s="5"/>
    </row>
    <row r="639" ht="14.25" customHeight="1">
      <c r="A639" s="5"/>
    </row>
    <row r="640" ht="14.25" customHeight="1">
      <c r="A640" s="5"/>
    </row>
    <row r="641" ht="14.25" customHeight="1">
      <c r="A641" s="5"/>
    </row>
    <row r="642" ht="14.25" customHeight="1">
      <c r="A642" s="5"/>
    </row>
    <row r="643" ht="14.25" customHeight="1">
      <c r="A643" s="5"/>
    </row>
    <row r="644" ht="14.25" customHeight="1">
      <c r="A644" s="5"/>
    </row>
    <row r="645" ht="14.25" customHeight="1">
      <c r="A645" s="5"/>
    </row>
    <row r="646" ht="14.25" customHeight="1">
      <c r="A646" s="5"/>
    </row>
    <row r="647" ht="14.25" customHeight="1">
      <c r="A647" s="5"/>
    </row>
    <row r="648" ht="14.25" customHeight="1">
      <c r="A648" s="5"/>
    </row>
    <row r="649" ht="14.25" customHeight="1">
      <c r="A649" s="5"/>
    </row>
    <row r="650" ht="14.25" customHeight="1">
      <c r="A650" s="5"/>
    </row>
    <row r="651" ht="14.25" customHeight="1">
      <c r="A651" s="5"/>
    </row>
    <row r="652" ht="14.25" customHeight="1">
      <c r="A652" s="5"/>
    </row>
    <row r="653" ht="14.25" customHeight="1">
      <c r="A653" s="5"/>
    </row>
    <row r="654" ht="14.25" customHeight="1">
      <c r="A654" s="5"/>
    </row>
    <row r="655" ht="14.25" customHeight="1">
      <c r="A655" s="5"/>
    </row>
    <row r="656" ht="14.25" customHeight="1">
      <c r="A656" s="5"/>
    </row>
    <row r="657" ht="14.25" customHeight="1">
      <c r="A657" s="5"/>
    </row>
    <row r="658" ht="14.25" customHeight="1">
      <c r="A658" s="5"/>
    </row>
    <row r="659" ht="14.25" customHeight="1">
      <c r="A659" s="5"/>
    </row>
    <row r="660" ht="14.25" customHeight="1">
      <c r="A660" s="5"/>
    </row>
    <row r="661" ht="14.25" customHeight="1">
      <c r="A661" s="5"/>
    </row>
    <row r="662" ht="14.25" customHeight="1">
      <c r="A662" s="5"/>
    </row>
    <row r="663" ht="14.25" customHeight="1">
      <c r="A663" s="5"/>
    </row>
    <row r="664" ht="14.25" customHeight="1">
      <c r="A664" s="5"/>
    </row>
    <row r="665" ht="14.25" customHeight="1">
      <c r="A665" s="5"/>
    </row>
    <row r="666" ht="14.25" customHeight="1">
      <c r="A666" s="5"/>
    </row>
    <row r="667" ht="14.25" customHeight="1">
      <c r="A667" s="5"/>
    </row>
    <row r="668" ht="14.25" customHeight="1">
      <c r="A668" s="5"/>
    </row>
    <row r="669" ht="14.25" customHeight="1">
      <c r="A669" s="5"/>
    </row>
    <row r="670" ht="14.25" customHeight="1">
      <c r="A670" s="5"/>
    </row>
    <row r="671" ht="14.25" customHeight="1">
      <c r="A671" s="5"/>
    </row>
    <row r="672" ht="14.25" customHeight="1">
      <c r="A672" s="5"/>
    </row>
    <row r="673" ht="14.25" customHeight="1">
      <c r="A673" s="5"/>
    </row>
    <row r="674" ht="14.25" customHeight="1">
      <c r="A674" s="5"/>
    </row>
    <row r="675" ht="14.25" customHeight="1">
      <c r="A675" s="5"/>
    </row>
    <row r="676" ht="14.25" customHeight="1">
      <c r="A676" s="5"/>
    </row>
    <row r="677" ht="14.25" customHeight="1">
      <c r="A677" s="5"/>
    </row>
    <row r="678" ht="14.25" customHeight="1">
      <c r="A678" s="5"/>
    </row>
    <row r="679" ht="14.25" customHeight="1">
      <c r="A679" s="5"/>
    </row>
    <row r="680" ht="14.25" customHeight="1">
      <c r="A680" s="5"/>
    </row>
    <row r="681" ht="14.25" customHeight="1">
      <c r="A681" s="5"/>
    </row>
    <row r="682" ht="14.25" customHeight="1">
      <c r="A682" s="5"/>
    </row>
    <row r="683" ht="14.25" customHeight="1">
      <c r="A683" s="5"/>
    </row>
    <row r="684" ht="14.25" customHeight="1">
      <c r="A684" s="5"/>
    </row>
    <row r="685" ht="14.25" customHeight="1">
      <c r="A685" s="5"/>
    </row>
    <row r="686" ht="14.25" customHeight="1">
      <c r="A686" s="5"/>
    </row>
    <row r="687" ht="14.25" customHeight="1">
      <c r="A687" s="5"/>
    </row>
    <row r="688" ht="14.25" customHeight="1">
      <c r="A688" s="5"/>
    </row>
    <row r="689" ht="14.25" customHeight="1">
      <c r="A689" s="5"/>
    </row>
    <row r="690" ht="14.25" customHeight="1">
      <c r="A690" s="5"/>
    </row>
    <row r="691" ht="14.25" customHeight="1">
      <c r="A691" s="5"/>
    </row>
    <row r="692" ht="14.25" customHeight="1">
      <c r="A692" s="5"/>
    </row>
    <row r="693" ht="14.25" customHeight="1">
      <c r="A693" s="5"/>
    </row>
    <row r="694" ht="14.25" customHeight="1">
      <c r="A694" s="5"/>
    </row>
    <row r="695" ht="14.25" customHeight="1">
      <c r="A695" s="5"/>
    </row>
    <row r="696" ht="14.25" customHeight="1">
      <c r="A696" s="5"/>
    </row>
    <row r="697" ht="14.25" customHeight="1">
      <c r="A697" s="5"/>
    </row>
    <row r="698" ht="14.25" customHeight="1">
      <c r="A698" s="5"/>
    </row>
    <row r="699" ht="14.25" customHeight="1">
      <c r="A699" s="5"/>
    </row>
    <row r="700" ht="14.25" customHeight="1">
      <c r="A700" s="5"/>
    </row>
    <row r="701" ht="14.25" customHeight="1">
      <c r="A701" s="5"/>
    </row>
    <row r="702" ht="14.25" customHeight="1">
      <c r="A702" s="5"/>
    </row>
    <row r="703" ht="14.25" customHeight="1">
      <c r="A703" s="5"/>
    </row>
    <row r="704" ht="14.25" customHeight="1">
      <c r="A704" s="5"/>
    </row>
    <row r="705" ht="14.25" customHeight="1">
      <c r="A705" s="5"/>
    </row>
    <row r="706" ht="14.25" customHeight="1">
      <c r="A706" s="5"/>
    </row>
    <row r="707" ht="14.25" customHeight="1">
      <c r="A707" s="5"/>
    </row>
    <row r="708" ht="14.25" customHeight="1">
      <c r="A708" s="5"/>
    </row>
    <row r="709" ht="14.25" customHeight="1">
      <c r="A709" s="5"/>
    </row>
    <row r="710" ht="14.25" customHeight="1">
      <c r="A710" s="5"/>
    </row>
    <row r="711" ht="14.25" customHeight="1">
      <c r="A711" s="5"/>
    </row>
    <row r="712" ht="14.25" customHeight="1">
      <c r="A712" s="5"/>
    </row>
    <row r="713" ht="14.25" customHeight="1">
      <c r="A713" s="5"/>
    </row>
    <row r="714" ht="14.25" customHeight="1">
      <c r="A714" s="5"/>
    </row>
    <row r="715" ht="14.25" customHeight="1">
      <c r="A715" s="5"/>
    </row>
    <row r="716" ht="14.25" customHeight="1">
      <c r="A716" s="5"/>
    </row>
    <row r="717" ht="14.25" customHeight="1">
      <c r="A717" s="5"/>
    </row>
    <row r="718" ht="14.25" customHeight="1">
      <c r="A718" s="5"/>
    </row>
    <row r="719" ht="14.25" customHeight="1">
      <c r="A719" s="5"/>
    </row>
    <row r="720" ht="14.25" customHeight="1">
      <c r="A720" s="5"/>
    </row>
    <row r="721" ht="14.25" customHeight="1">
      <c r="A721" s="5"/>
    </row>
    <row r="722" ht="14.25" customHeight="1">
      <c r="A722" s="5"/>
    </row>
    <row r="723" ht="14.25" customHeight="1">
      <c r="A723" s="5"/>
    </row>
    <row r="724" ht="14.25" customHeight="1">
      <c r="A724" s="5"/>
    </row>
    <row r="725" ht="14.25" customHeight="1">
      <c r="A725" s="5"/>
    </row>
    <row r="726" ht="14.25" customHeight="1">
      <c r="A726" s="5"/>
    </row>
    <row r="727" ht="14.25" customHeight="1">
      <c r="A727" s="5"/>
    </row>
    <row r="728" ht="14.25" customHeight="1">
      <c r="A728" s="5"/>
    </row>
    <row r="729" ht="14.25" customHeight="1">
      <c r="A729" s="5"/>
    </row>
    <row r="730" ht="14.25" customHeight="1">
      <c r="A730" s="5"/>
    </row>
    <row r="731" ht="14.25" customHeight="1">
      <c r="A731" s="5"/>
    </row>
    <row r="732" ht="14.25" customHeight="1">
      <c r="A732" s="5"/>
    </row>
    <row r="733" ht="14.25" customHeight="1">
      <c r="A733" s="5"/>
    </row>
    <row r="734" ht="14.25" customHeight="1">
      <c r="A734" s="5"/>
    </row>
    <row r="735" ht="14.25" customHeight="1">
      <c r="A735" s="5"/>
    </row>
    <row r="736" ht="14.25" customHeight="1">
      <c r="A736" s="5"/>
    </row>
    <row r="737" ht="14.25" customHeight="1">
      <c r="A737" s="5"/>
    </row>
    <row r="738" ht="14.25" customHeight="1">
      <c r="A738" s="5"/>
    </row>
    <row r="739" ht="14.25" customHeight="1">
      <c r="A739" s="5"/>
    </row>
    <row r="740" ht="14.25" customHeight="1">
      <c r="A740" s="5"/>
    </row>
    <row r="741" ht="14.25" customHeight="1">
      <c r="A741" s="5"/>
    </row>
    <row r="742" ht="14.25" customHeight="1">
      <c r="A742" s="5"/>
    </row>
    <row r="743" ht="14.25" customHeight="1">
      <c r="A743" s="5"/>
    </row>
    <row r="744" ht="14.25" customHeight="1">
      <c r="A744" s="5"/>
    </row>
    <row r="745" ht="14.25" customHeight="1">
      <c r="A745" s="5"/>
    </row>
    <row r="746" ht="14.25" customHeight="1">
      <c r="A746" s="5"/>
    </row>
    <row r="747" ht="14.25" customHeight="1">
      <c r="A747" s="5"/>
    </row>
    <row r="748" ht="14.25" customHeight="1">
      <c r="A748" s="5"/>
    </row>
    <row r="749" ht="14.25" customHeight="1">
      <c r="A749" s="5"/>
    </row>
    <row r="750" ht="14.25" customHeight="1">
      <c r="A750" s="5"/>
    </row>
    <row r="751" ht="14.25" customHeight="1">
      <c r="A751" s="5"/>
    </row>
    <row r="752" ht="14.25" customHeight="1">
      <c r="A752" s="5"/>
    </row>
    <row r="753" ht="14.25" customHeight="1">
      <c r="A753" s="5"/>
    </row>
    <row r="754" ht="14.25" customHeight="1">
      <c r="A754" s="5"/>
    </row>
    <row r="755" ht="14.25" customHeight="1">
      <c r="A755" s="5"/>
    </row>
    <row r="756" ht="14.25" customHeight="1">
      <c r="A756" s="5"/>
    </row>
    <row r="757" ht="14.25" customHeight="1">
      <c r="A757" s="5"/>
    </row>
    <row r="758" ht="14.25" customHeight="1">
      <c r="A758" s="5"/>
    </row>
    <row r="759" ht="14.25" customHeight="1">
      <c r="A759" s="5"/>
    </row>
    <row r="760" ht="14.25" customHeight="1">
      <c r="A760" s="5"/>
    </row>
    <row r="761" ht="14.25" customHeight="1">
      <c r="A761" s="5"/>
    </row>
    <row r="762" ht="14.25" customHeight="1">
      <c r="A762" s="5"/>
    </row>
    <row r="763" ht="14.25" customHeight="1">
      <c r="A763" s="5"/>
    </row>
    <row r="764" ht="14.25" customHeight="1">
      <c r="A764" s="5"/>
    </row>
    <row r="765" ht="14.25" customHeight="1">
      <c r="A765" s="5"/>
    </row>
    <row r="766" ht="14.25" customHeight="1">
      <c r="A766" s="5"/>
    </row>
    <row r="767" ht="14.25" customHeight="1">
      <c r="A767" s="5"/>
    </row>
    <row r="768" ht="14.25" customHeight="1">
      <c r="A768" s="5"/>
    </row>
    <row r="769" ht="14.25" customHeight="1">
      <c r="A769" s="5"/>
    </row>
    <row r="770" ht="14.25" customHeight="1">
      <c r="A770" s="5"/>
    </row>
    <row r="771" ht="14.25" customHeight="1">
      <c r="A771" s="5"/>
    </row>
    <row r="772" ht="14.25" customHeight="1">
      <c r="A772" s="5"/>
    </row>
    <row r="773" ht="14.25" customHeight="1">
      <c r="A773" s="5"/>
    </row>
    <row r="774" ht="14.25" customHeight="1">
      <c r="A774" s="5"/>
    </row>
    <row r="775" ht="14.25" customHeight="1">
      <c r="A775" s="5"/>
    </row>
    <row r="776" ht="14.25" customHeight="1">
      <c r="A776" s="5"/>
    </row>
    <row r="777" ht="14.25" customHeight="1">
      <c r="A777" s="5"/>
    </row>
    <row r="778" ht="14.25" customHeight="1">
      <c r="A778" s="5"/>
    </row>
    <row r="779" ht="14.25" customHeight="1">
      <c r="A779" s="5"/>
    </row>
    <row r="780" ht="14.25" customHeight="1">
      <c r="A780" s="5"/>
    </row>
    <row r="781" ht="14.25" customHeight="1">
      <c r="A781" s="5"/>
    </row>
    <row r="782" ht="14.25" customHeight="1">
      <c r="A782" s="5"/>
    </row>
    <row r="783" ht="14.25" customHeight="1">
      <c r="A783" s="5"/>
    </row>
    <row r="784" ht="14.25" customHeight="1">
      <c r="A784" s="5"/>
    </row>
    <row r="785" ht="14.25" customHeight="1">
      <c r="A785" s="5"/>
    </row>
    <row r="786" ht="14.25" customHeight="1">
      <c r="A786" s="5"/>
    </row>
    <row r="787" ht="14.25" customHeight="1">
      <c r="A787" s="5"/>
    </row>
    <row r="788" ht="14.25" customHeight="1">
      <c r="A788" s="5"/>
    </row>
    <row r="789" ht="14.25" customHeight="1">
      <c r="A789" s="5"/>
    </row>
    <row r="790" ht="14.25" customHeight="1">
      <c r="A790" s="5"/>
    </row>
    <row r="791" ht="14.25" customHeight="1">
      <c r="A791" s="5"/>
    </row>
    <row r="792" ht="14.25" customHeight="1">
      <c r="A792" s="5"/>
    </row>
    <row r="793" ht="14.25" customHeight="1">
      <c r="A793" s="5"/>
    </row>
    <row r="794" ht="14.25" customHeight="1">
      <c r="A794" s="5"/>
    </row>
    <row r="795" ht="14.25" customHeight="1">
      <c r="A795" s="5"/>
    </row>
    <row r="796" ht="14.25" customHeight="1">
      <c r="A796" s="5"/>
    </row>
    <row r="797" ht="14.25" customHeight="1">
      <c r="A797" s="5"/>
    </row>
    <row r="798" ht="14.25" customHeight="1">
      <c r="A798" s="5"/>
    </row>
    <row r="799" ht="14.25" customHeight="1">
      <c r="A799" s="5"/>
    </row>
    <row r="800" ht="14.25" customHeight="1">
      <c r="A800" s="5"/>
    </row>
    <row r="801" ht="14.25" customHeight="1">
      <c r="A801" s="5"/>
    </row>
    <row r="802" ht="14.25" customHeight="1">
      <c r="A802" s="5"/>
    </row>
    <row r="803" ht="14.25" customHeight="1">
      <c r="A803" s="5"/>
    </row>
    <row r="804" ht="14.25" customHeight="1">
      <c r="A804" s="5"/>
    </row>
    <row r="805" ht="14.25" customHeight="1">
      <c r="A805" s="5"/>
    </row>
    <row r="806" ht="14.25" customHeight="1">
      <c r="A806" s="5"/>
    </row>
    <row r="807" ht="14.25" customHeight="1">
      <c r="A807" s="5"/>
    </row>
    <row r="808" ht="14.25" customHeight="1">
      <c r="A808" s="5"/>
    </row>
    <row r="809" ht="14.25" customHeight="1">
      <c r="A809" s="5"/>
    </row>
    <row r="810" ht="14.25" customHeight="1">
      <c r="A810" s="5"/>
    </row>
    <row r="811" ht="14.25" customHeight="1">
      <c r="A811" s="5"/>
    </row>
    <row r="812" ht="14.25" customHeight="1">
      <c r="A812" s="5"/>
    </row>
    <row r="813" ht="14.25" customHeight="1">
      <c r="A813" s="5"/>
    </row>
    <row r="814" ht="14.25" customHeight="1">
      <c r="A814" s="5"/>
    </row>
    <row r="815" ht="14.25" customHeight="1">
      <c r="A815" s="5"/>
    </row>
    <row r="816" ht="14.25" customHeight="1">
      <c r="A816" s="5"/>
    </row>
    <row r="817" ht="14.25" customHeight="1">
      <c r="A817" s="5"/>
    </row>
    <row r="818" ht="14.25" customHeight="1">
      <c r="A818" s="5"/>
    </row>
    <row r="819" ht="14.25" customHeight="1">
      <c r="A819" s="5"/>
    </row>
    <row r="820" ht="14.25" customHeight="1">
      <c r="A820" s="5"/>
    </row>
    <row r="821" ht="14.25" customHeight="1">
      <c r="A821" s="5"/>
    </row>
    <row r="822" ht="14.25" customHeight="1">
      <c r="A822" s="5"/>
    </row>
    <row r="823" ht="14.25" customHeight="1">
      <c r="A823" s="5"/>
    </row>
    <row r="824" ht="14.25" customHeight="1">
      <c r="A824" s="5"/>
    </row>
    <row r="825" ht="14.25" customHeight="1">
      <c r="A825" s="5"/>
    </row>
    <row r="826" ht="14.25" customHeight="1">
      <c r="A826" s="5"/>
    </row>
    <row r="827" ht="14.25" customHeight="1">
      <c r="A827" s="5"/>
    </row>
    <row r="828" ht="14.25" customHeight="1">
      <c r="A828" s="5"/>
    </row>
    <row r="829" ht="14.25" customHeight="1">
      <c r="A829" s="5"/>
    </row>
    <row r="830" ht="14.25" customHeight="1">
      <c r="A830" s="5"/>
    </row>
    <row r="831" ht="14.25" customHeight="1">
      <c r="A831" s="5"/>
    </row>
    <row r="832" ht="14.25" customHeight="1">
      <c r="A832" s="5"/>
    </row>
    <row r="833" ht="14.25" customHeight="1">
      <c r="A833" s="5"/>
    </row>
    <row r="834" ht="14.25" customHeight="1">
      <c r="A834" s="5"/>
    </row>
    <row r="835" ht="14.25" customHeight="1">
      <c r="A835" s="5"/>
    </row>
    <row r="836" ht="14.25" customHeight="1">
      <c r="A836" s="5"/>
    </row>
    <row r="837" ht="14.25" customHeight="1">
      <c r="A837" s="5"/>
    </row>
    <row r="838" ht="14.25" customHeight="1">
      <c r="A838" s="5"/>
    </row>
    <row r="839" ht="14.25" customHeight="1">
      <c r="A839" s="5"/>
    </row>
    <row r="840" ht="14.25" customHeight="1">
      <c r="A840" s="5"/>
    </row>
    <row r="841" ht="14.25" customHeight="1">
      <c r="A841" s="5"/>
    </row>
    <row r="842" ht="14.25" customHeight="1">
      <c r="A842" s="5"/>
    </row>
    <row r="843" ht="14.25" customHeight="1">
      <c r="A843" s="5"/>
    </row>
    <row r="844" ht="14.25" customHeight="1">
      <c r="A844" s="5"/>
    </row>
    <row r="845" ht="14.25" customHeight="1">
      <c r="A845" s="5"/>
    </row>
    <row r="846" ht="14.25" customHeight="1">
      <c r="A846" s="5"/>
    </row>
    <row r="847" ht="14.25" customHeight="1">
      <c r="A847" s="5"/>
    </row>
    <row r="848" ht="14.25" customHeight="1">
      <c r="A848" s="5"/>
    </row>
    <row r="849" ht="14.25" customHeight="1">
      <c r="A849" s="5"/>
    </row>
    <row r="850" ht="14.25" customHeight="1">
      <c r="A850" s="5"/>
    </row>
    <row r="851" ht="14.25" customHeight="1">
      <c r="A851" s="5"/>
    </row>
    <row r="852" ht="14.25" customHeight="1">
      <c r="A852" s="5"/>
    </row>
    <row r="853" ht="14.25" customHeight="1">
      <c r="A853" s="5"/>
    </row>
    <row r="854" ht="14.25" customHeight="1">
      <c r="A854" s="5"/>
    </row>
    <row r="855" ht="14.25" customHeight="1">
      <c r="A855" s="5"/>
    </row>
    <row r="856" ht="14.25" customHeight="1">
      <c r="A856" s="5"/>
    </row>
    <row r="857" ht="14.25" customHeight="1">
      <c r="A857" s="5"/>
    </row>
    <row r="858" ht="14.25" customHeight="1">
      <c r="A858" s="5"/>
    </row>
    <row r="859" ht="14.25" customHeight="1">
      <c r="A859" s="5"/>
    </row>
    <row r="860" ht="14.25" customHeight="1">
      <c r="A860" s="5"/>
    </row>
    <row r="861" ht="14.25" customHeight="1">
      <c r="A861" s="5"/>
    </row>
    <row r="862" ht="14.25" customHeight="1">
      <c r="A862" s="5"/>
    </row>
    <row r="863" ht="14.25" customHeight="1">
      <c r="A863" s="5"/>
    </row>
    <row r="864" ht="14.25" customHeight="1">
      <c r="A864" s="5"/>
    </row>
    <row r="865" ht="14.25" customHeight="1">
      <c r="A865" s="5"/>
    </row>
    <row r="866" ht="14.25" customHeight="1">
      <c r="A866" s="5"/>
    </row>
    <row r="867" ht="14.25" customHeight="1">
      <c r="A867" s="5"/>
    </row>
    <row r="868" ht="14.25" customHeight="1">
      <c r="A868" s="5"/>
    </row>
    <row r="869" ht="14.25" customHeight="1">
      <c r="A869" s="5"/>
    </row>
    <row r="870" ht="14.25" customHeight="1">
      <c r="A870" s="5"/>
    </row>
    <row r="871" ht="14.25" customHeight="1">
      <c r="A871" s="5"/>
    </row>
    <row r="872" ht="14.25" customHeight="1">
      <c r="A872" s="5"/>
    </row>
    <row r="873" ht="14.25" customHeight="1">
      <c r="A873" s="5"/>
    </row>
    <row r="874" ht="14.25" customHeight="1">
      <c r="A874" s="5"/>
    </row>
    <row r="875" ht="14.25" customHeight="1">
      <c r="A875" s="5"/>
    </row>
    <row r="876" ht="14.25" customHeight="1">
      <c r="A876" s="5"/>
    </row>
    <row r="877" ht="14.25" customHeight="1">
      <c r="A877" s="5"/>
    </row>
    <row r="878" ht="14.25" customHeight="1">
      <c r="A878" s="5"/>
    </row>
    <row r="879" ht="14.25" customHeight="1">
      <c r="A879" s="5"/>
    </row>
    <row r="880" ht="14.25" customHeight="1">
      <c r="A880" s="5"/>
    </row>
    <row r="881" ht="14.25" customHeight="1">
      <c r="A881" s="5"/>
    </row>
    <row r="882" ht="14.25" customHeight="1">
      <c r="A882" s="5"/>
    </row>
    <row r="883" ht="14.25" customHeight="1">
      <c r="A883" s="5"/>
    </row>
    <row r="884" ht="14.25" customHeight="1">
      <c r="A884" s="5"/>
    </row>
    <row r="885" ht="14.25" customHeight="1">
      <c r="A885" s="5"/>
    </row>
    <row r="886" ht="14.25" customHeight="1">
      <c r="A886" s="5"/>
    </row>
    <row r="887" ht="14.25" customHeight="1">
      <c r="A887" s="5"/>
    </row>
    <row r="888" ht="14.25" customHeight="1">
      <c r="A888" s="5"/>
    </row>
    <row r="889" ht="14.25" customHeight="1">
      <c r="A889" s="5"/>
    </row>
    <row r="890" ht="14.25" customHeight="1">
      <c r="A890" s="5"/>
    </row>
    <row r="891" ht="14.25" customHeight="1">
      <c r="A891" s="5"/>
    </row>
    <row r="892" ht="14.25" customHeight="1">
      <c r="A892" s="5"/>
    </row>
    <row r="893" ht="14.25" customHeight="1">
      <c r="A893" s="5"/>
    </row>
    <row r="894" ht="14.25" customHeight="1">
      <c r="A894" s="5"/>
    </row>
    <row r="895" ht="14.25" customHeight="1">
      <c r="A895" s="5"/>
    </row>
    <row r="896" ht="14.25" customHeight="1">
      <c r="A896" s="5"/>
    </row>
    <row r="897" ht="14.25" customHeight="1">
      <c r="A897" s="5"/>
    </row>
    <row r="898" ht="14.25" customHeight="1">
      <c r="A898" s="5"/>
    </row>
    <row r="899" ht="14.25" customHeight="1">
      <c r="A899" s="5"/>
    </row>
    <row r="900" ht="14.25" customHeight="1">
      <c r="A900" s="5"/>
    </row>
    <row r="901" ht="14.25" customHeight="1">
      <c r="A901" s="5"/>
    </row>
    <row r="902" ht="14.25" customHeight="1">
      <c r="A902" s="5"/>
    </row>
    <row r="903" ht="14.25" customHeight="1">
      <c r="A903" s="5"/>
    </row>
    <row r="904" ht="14.25" customHeight="1">
      <c r="A904" s="5"/>
    </row>
    <row r="905" ht="14.25" customHeight="1">
      <c r="A905" s="5"/>
    </row>
    <row r="906" ht="14.25" customHeight="1">
      <c r="A906" s="5"/>
    </row>
    <row r="907" ht="14.25" customHeight="1">
      <c r="A907" s="5"/>
    </row>
    <row r="908" ht="14.25" customHeight="1">
      <c r="A908" s="5"/>
    </row>
    <row r="909" ht="14.25" customHeight="1">
      <c r="A909" s="5"/>
    </row>
    <row r="910" ht="14.25" customHeight="1">
      <c r="A910" s="5"/>
    </row>
    <row r="911" ht="14.25" customHeight="1">
      <c r="A911" s="5"/>
    </row>
    <row r="912" ht="14.25" customHeight="1">
      <c r="A912" s="5"/>
    </row>
    <row r="913" ht="14.25" customHeight="1">
      <c r="A913" s="5"/>
    </row>
    <row r="914" ht="14.25" customHeight="1">
      <c r="A914" s="5"/>
    </row>
    <row r="915" ht="14.25" customHeight="1">
      <c r="A915" s="5"/>
    </row>
    <row r="916" ht="14.25" customHeight="1">
      <c r="A916" s="5"/>
    </row>
    <row r="917" ht="14.25" customHeight="1">
      <c r="A917" s="5"/>
    </row>
    <row r="918" ht="14.25" customHeight="1">
      <c r="A918" s="5"/>
    </row>
    <row r="919" ht="14.25" customHeight="1">
      <c r="A919" s="5"/>
    </row>
    <row r="920" ht="14.25" customHeight="1">
      <c r="A920" s="5"/>
    </row>
    <row r="921" ht="14.25" customHeight="1">
      <c r="A921" s="5"/>
    </row>
    <row r="922" ht="14.25" customHeight="1">
      <c r="A922" s="5"/>
    </row>
    <row r="923" ht="14.25" customHeight="1">
      <c r="A923" s="5"/>
    </row>
    <row r="924" ht="14.25" customHeight="1">
      <c r="A924" s="5"/>
    </row>
    <row r="925" ht="14.25" customHeight="1">
      <c r="A925" s="5"/>
    </row>
    <row r="926" ht="14.25" customHeight="1">
      <c r="A926" s="5"/>
    </row>
    <row r="927" ht="14.25" customHeight="1">
      <c r="A927" s="5"/>
    </row>
    <row r="928" ht="14.25" customHeight="1">
      <c r="A928" s="5"/>
    </row>
    <row r="929" ht="14.25" customHeight="1">
      <c r="A929" s="5"/>
    </row>
    <row r="930" ht="14.25" customHeight="1">
      <c r="A930" s="5"/>
    </row>
    <row r="931" ht="14.25" customHeight="1">
      <c r="A931" s="5"/>
    </row>
    <row r="932" ht="14.25" customHeight="1">
      <c r="A932" s="5"/>
    </row>
    <row r="933" ht="14.25" customHeight="1">
      <c r="A933" s="5"/>
    </row>
    <row r="934" ht="14.25" customHeight="1">
      <c r="A934" s="5"/>
    </row>
    <row r="935" ht="14.25" customHeight="1">
      <c r="A935" s="5"/>
    </row>
    <row r="936" ht="14.25" customHeight="1">
      <c r="A936" s="5"/>
    </row>
    <row r="937" ht="14.25" customHeight="1">
      <c r="A937" s="5"/>
    </row>
    <row r="938" ht="14.25" customHeight="1">
      <c r="A938" s="5"/>
    </row>
    <row r="939" ht="14.25" customHeight="1">
      <c r="A939" s="5"/>
    </row>
    <row r="940" ht="14.25" customHeight="1">
      <c r="A940" s="5"/>
    </row>
    <row r="941" ht="14.25" customHeight="1">
      <c r="A941" s="5"/>
    </row>
    <row r="942" ht="14.25" customHeight="1">
      <c r="A942" s="5"/>
    </row>
    <row r="943" ht="14.25" customHeight="1">
      <c r="A943" s="5"/>
    </row>
    <row r="944" ht="14.25" customHeight="1">
      <c r="A944" s="5"/>
    </row>
    <row r="945" ht="14.25" customHeight="1">
      <c r="A945" s="5"/>
    </row>
    <row r="946" ht="14.25" customHeight="1">
      <c r="A946" s="5"/>
    </row>
    <row r="947" ht="14.25" customHeight="1">
      <c r="A947" s="5"/>
    </row>
    <row r="948" ht="14.25" customHeight="1">
      <c r="A948" s="5"/>
    </row>
    <row r="949" ht="14.25" customHeight="1">
      <c r="A949" s="5"/>
    </row>
    <row r="950" ht="14.25" customHeight="1">
      <c r="A950" s="5"/>
    </row>
    <row r="951" ht="14.25" customHeight="1">
      <c r="A951" s="5"/>
    </row>
    <row r="952" ht="14.25" customHeight="1">
      <c r="A952" s="5"/>
    </row>
    <row r="953" ht="14.25" customHeight="1">
      <c r="A953" s="5"/>
    </row>
    <row r="954" ht="14.25" customHeight="1">
      <c r="A954" s="5"/>
    </row>
    <row r="955" ht="14.25" customHeight="1">
      <c r="A955" s="5"/>
    </row>
    <row r="956" ht="14.25" customHeight="1">
      <c r="A956" s="5"/>
    </row>
    <row r="957" ht="14.25" customHeight="1">
      <c r="A957" s="5"/>
    </row>
    <row r="958" ht="14.25" customHeight="1">
      <c r="A958" s="5"/>
    </row>
    <row r="959" ht="14.25" customHeight="1">
      <c r="A959" s="5"/>
    </row>
    <row r="960" ht="14.25" customHeight="1">
      <c r="A960" s="5"/>
    </row>
    <row r="961" ht="14.25" customHeight="1">
      <c r="A961" s="5"/>
    </row>
    <row r="962" ht="14.25" customHeight="1">
      <c r="A962" s="5"/>
    </row>
    <row r="963" ht="14.25" customHeight="1">
      <c r="A963" s="5"/>
    </row>
    <row r="964" ht="14.25" customHeight="1">
      <c r="A964" s="5"/>
    </row>
    <row r="965" ht="14.25" customHeight="1">
      <c r="A965" s="5"/>
    </row>
    <row r="966" ht="14.25" customHeight="1">
      <c r="A966" s="5"/>
    </row>
    <row r="967" ht="14.25" customHeight="1">
      <c r="A967" s="5"/>
    </row>
    <row r="968" ht="14.25" customHeight="1">
      <c r="A968" s="5"/>
    </row>
    <row r="969" ht="14.25" customHeight="1">
      <c r="A969" s="5"/>
    </row>
    <row r="970" ht="14.25" customHeight="1">
      <c r="A970" s="5"/>
    </row>
    <row r="971" ht="14.25" customHeight="1">
      <c r="A971" s="5"/>
    </row>
    <row r="972" ht="14.25" customHeight="1">
      <c r="A972" s="5"/>
    </row>
    <row r="973" ht="14.25" customHeight="1">
      <c r="A973" s="5"/>
    </row>
    <row r="974" ht="14.25" customHeight="1">
      <c r="A974" s="5"/>
    </row>
    <row r="975" ht="14.25" customHeight="1">
      <c r="A975" s="5"/>
    </row>
    <row r="976" ht="14.25" customHeight="1">
      <c r="A976" s="5"/>
    </row>
    <row r="977" ht="14.25" customHeight="1">
      <c r="A977" s="5"/>
    </row>
    <row r="978" ht="14.25" customHeight="1">
      <c r="A978" s="5"/>
    </row>
    <row r="979" ht="14.25" customHeight="1">
      <c r="A979" s="5"/>
    </row>
    <row r="980" ht="14.25" customHeight="1">
      <c r="A980" s="5"/>
    </row>
    <row r="981" ht="14.25" customHeight="1">
      <c r="A981" s="5"/>
    </row>
    <row r="982" ht="14.25" customHeight="1">
      <c r="A982" s="5"/>
    </row>
    <row r="983" ht="14.25" customHeight="1">
      <c r="A983" s="5"/>
    </row>
    <row r="984" ht="14.25" customHeight="1">
      <c r="A984" s="5"/>
    </row>
    <row r="985" ht="14.25" customHeight="1">
      <c r="A985" s="5"/>
    </row>
    <row r="986" ht="14.25" customHeight="1">
      <c r="A986" s="5"/>
    </row>
    <row r="987" ht="14.25" customHeight="1">
      <c r="A987" s="5"/>
    </row>
    <row r="988" ht="14.25" customHeight="1">
      <c r="A988" s="5"/>
    </row>
    <row r="989" ht="14.25" customHeight="1">
      <c r="A989" s="5"/>
    </row>
    <row r="990" ht="14.25" customHeight="1">
      <c r="A990" s="5"/>
    </row>
    <row r="991" ht="14.25" customHeight="1">
      <c r="A991" s="5"/>
    </row>
    <row r="992" ht="14.25" customHeight="1">
      <c r="A992" s="5"/>
    </row>
    <row r="993" ht="14.25" customHeight="1">
      <c r="A993" s="5"/>
    </row>
    <row r="994" ht="14.25" customHeight="1">
      <c r="A994" s="5"/>
    </row>
    <row r="995" ht="14.25" customHeight="1">
      <c r="A995" s="5"/>
    </row>
    <row r="996" ht="14.25" customHeight="1">
      <c r="A996" s="5"/>
    </row>
    <row r="997" ht="14.25" customHeight="1">
      <c r="A997" s="5"/>
    </row>
    <row r="998" ht="14.25" customHeight="1">
      <c r="A998" s="5"/>
    </row>
    <row r="999" ht="14.25" customHeight="1">
      <c r="A999" s="5"/>
    </row>
    <row r="1000" ht="14.25" customHeight="1">
      <c r="A1000" s="5"/>
    </row>
  </sheetData>
  <mergeCells count="1">
    <mergeCell ref="A1:K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39.63"/>
    <col customWidth="1" min="2" max="2" width="43.0"/>
    <col customWidth="1" min="3" max="3" width="21.13"/>
    <col customWidth="1" min="4" max="4" width="10.13"/>
    <col customWidth="1" min="5" max="6" width="10.0"/>
    <col customWidth="1" min="7" max="7" width="9.88"/>
    <col customWidth="1" min="8" max="8" width="10.88"/>
    <col customWidth="1" min="9" max="9" width="9.88"/>
    <col customWidth="1" min="10" max="10" width="11.25"/>
    <col customWidth="1" min="11" max="11" width="31.5"/>
    <col customWidth="1" min="12" max="12" width="29.25"/>
    <col customWidth="1" min="13" max="13" width="23.5"/>
    <col customWidth="1" min="14" max="14" width="22.13"/>
    <col customWidth="1" min="15" max="15" width="21.88"/>
    <col customWidth="1" min="16" max="26" width="10.63"/>
  </cols>
  <sheetData>
    <row r="1">
      <c r="A1" s="1" t="s">
        <v>977</v>
      </c>
      <c r="B1" s="2"/>
      <c r="C1" s="2"/>
      <c r="D1" s="2"/>
      <c r="E1" s="2"/>
      <c r="F1" s="2"/>
      <c r="G1" s="2"/>
      <c r="H1" s="2"/>
      <c r="I1" s="2"/>
      <c r="J1" s="2"/>
      <c r="K1" s="2"/>
      <c r="L1" s="27"/>
      <c r="M1" s="27"/>
      <c r="N1" s="27"/>
      <c r="O1" s="28"/>
    </row>
    <row r="3">
      <c r="A3" s="29" t="s">
        <v>1</v>
      </c>
      <c r="B3" s="30"/>
      <c r="C3" s="30"/>
      <c r="D3" s="30"/>
      <c r="E3" s="30"/>
      <c r="F3" s="30"/>
      <c r="G3" s="30"/>
      <c r="H3" s="30"/>
      <c r="I3" s="30"/>
      <c r="J3" s="30"/>
      <c r="K3" s="30"/>
      <c r="L3" s="31"/>
      <c r="M3" s="31"/>
      <c r="N3" s="31"/>
      <c r="O3" s="31"/>
    </row>
    <row r="4" ht="64.5" customHeight="1">
      <c r="A4" s="11" t="s">
        <v>2</v>
      </c>
      <c r="B4" s="11" t="s">
        <v>3</v>
      </c>
      <c r="C4" s="11" t="s">
        <v>4</v>
      </c>
      <c r="D4" s="11" t="s">
        <v>978</v>
      </c>
      <c r="E4" s="11" t="s">
        <v>979</v>
      </c>
      <c r="F4" s="11" t="s">
        <v>980</v>
      </c>
      <c r="G4" s="11" t="s">
        <v>981</v>
      </c>
      <c r="H4" s="11" t="s">
        <v>9</v>
      </c>
      <c r="I4" s="11" t="s">
        <v>10</v>
      </c>
      <c r="J4" s="126" t="s">
        <v>301</v>
      </c>
      <c r="K4" s="11" t="s">
        <v>12</v>
      </c>
      <c r="L4" s="11" t="s">
        <v>982</v>
      </c>
      <c r="M4" s="11" t="s">
        <v>983</v>
      </c>
      <c r="N4" s="11" t="s">
        <v>984</v>
      </c>
      <c r="O4" s="11" t="s">
        <v>985</v>
      </c>
    </row>
    <row r="5" ht="64.5" customHeight="1">
      <c r="A5" s="32" t="s">
        <v>986</v>
      </c>
      <c r="B5" s="18" t="s">
        <v>987</v>
      </c>
      <c r="C5" s="17">
        <v>0.0</v>
      </c>
      <c r="D5" s="18">
        <v>0.0</v>
      </c>
      <c r="E5" s="19">
        <v>0.13</v>
      </c>
      <c r="F5" s="17">
        <v>0.0</v>
      </c>
      <c r="G5" s="17">
        <v>0.0</v>
      </c>
      <c r="H5" s="58">
        <f t="shared" ref="H5:H7" si="1">+D5+E5+F5+G5</f>
        <v>0.13</v>
      </c>
      <c r="I5" s="19">
        <v>0.2</v>
      </c>
      <c r="J5" s="34">
        <f t="shared" ref="J5:J12" si="2">H5/I5</f>
        <v>0.65</v>
      </c>
      <c r="K5" s="18" t="s">
        <v>988</v>
      </c>
      <c r="L5" s="18" t="s">
        <v>989</v>
      </c>
      <c r="M5" s="18" t="s">
        <v>990</v>
      </c>
      <c r="N5" s="17"/>
      <c r="O5" s="17"/>
    </row>
    <row r="6" ht="64.5" customHeight="1">
      <c r="A6" s="18" t="s">
        <v>991</v>
      </c>
      <c r="B6" s="18" t="s">
        <v>992</v>
      </c>
      <c r="C6" s="18" t="s">
        <v>993</v>
      </c>
      <c r="D6" s="17">
        <v>0.0</v>
      </c>
      <c r="E6" s="17">
        <v>0.0</v>
      </c>
      <c r="F6" s="17">
        <v>0.0</v>
      </c>
      <c r="G6" s="17">
        <v>0.0</v>
      </c>
      <c r="H6" s="17">
        <f t="shared" si="1"/>
        <v>0</v>
      </c>
      <c r="I6" s="19">
        <v>0.15</v>
      </c>
      <c r="J6" s="34">
        <f t="shared" si="2"/>
        <v>0</v>
      </c>
      <c r="K6" s="18" t="s">
        <v>994</v>
      </c>
      <c r="L6" s="18" t="s">
        <v>995</v>
      </c>
      <c r="M6" s="18" t="s">
        <v>996</v>
      </c>
      <c r="N6" s="17"/>
      <c r="O6" s="17"/>
    </row>
    <row r="7" ht="64.5" customHeight="1">
      <c r="A7" s="18" t="s">
        <v>997</v>
      </c>
      <c r="B7" s="18" t="s">
        <v>998</v>
      </c>
      <c r="C7" s="17">
        <v>0.0</v>
      </c>
      <c r="D7" s="19">
        <v>0.05</v>
      </c>
      <c r="E7" s="19">
        <v>0.05</v>
      </c>
      <c r="F7" s="17">
        <v>0.0</v>
      </c>
      <c r="G7" s="17">
        <v>0.0</v>
      </c>
      <c r="H7" s="58">
        <f t="shared" si="1"/>
        <v>0.1</v>
      </c>
      <c r="I7" s="19">
        <v>0.4</v>
      </c>
      <c r="J7" s="34">
        <f t="shared" si="2"/>
        <v>0.25</v>
      </c>
      <c r="K7" s="18" t="s">
        <v>999</v>
      </c>
      <c r="L7" s="18" t="s">
        <v>1000</v>
      </c>
      <c r="M7" s="18" t="s">
        <v>1001</v>
      </c>
      <c r="N7" s="17"/>
      <c r="O7" s="17"/>
    </row>
    <row r="8" ht="64.5" customHeight="1">
      <c r="A8" s="104" t="s">
        <v>1002</v>
      </c>
      <c r="B8" s="18" t="s">
        <v>1003</v>
      </c>
      <c r="C8" s="18" t="s">
        <v>1004</v>
      </c>
      <c r="D8" s="18">
        <v>0.0</v>
      </c>
      <c r="E8" s="18">
        <v>0.0</v>
      </c>
      <c r="F8" s="18">
        <v>0.0</v>
      </c>
      <c r="G8" s="18">
        <v>0.0</v>
      </c>
      <c r="H8" s="18">
        <v>0.0</v>
      </c>
      <c r="I8" s="70">
        <v>0.3</v>
      </c>
      <c r="J8" s="34">
        <f t="shared" si="2"/>
        <v>0</v>
      </c>
      <c r="K8" s="18" t="s">
        <v>1005</v>
      </c>
      <c r="L8" s="104" t="s">
        <v>1006</v>
      </c>
      <c r="M8" s="104" t="s">
        <v>1007</v>
      </c>
      <c r="N8" s="17"/>
      <c r="O8" s="17"/>
    </row>
    <row r="9" ht="64.5" customHeight="1">
      <c r="A9" s="104" t="s">
        <v>1002</v>
      </c>
      <c r="B9" s="17" t="s">
        <v>1008</v>
      </c>
      <c r="C9" s="17" t="s">
        <v>1009</v>
      </c>
      <c r="D9" s="73">
        <v>2.0</v>
      </c>
      <c r="E9" s="18">
        <v>1.0</v>
      </c>
      <c r="F9" s="17">
        <v>0.0</v>
      </c>
      <c r="G9" s="17">
        <v>0.0</v>
      </c>
      <c r="H9" s="17">
        <f t="shared" ref="H9:H11" si="3">+D9+E9+F9+G9</f>
        <v>3</v>
      </c>
      <c r="I9" s="17">
        <v>3.0</v>
      </c>
      <c r="J9" s="34">
        <f t="shared" si="2"/>
        <v>1</v>
      </c>
      <c r="K9" s="18" t="s">
        <v>1010</v>
      </c>
      <c r="L9" s="104" t="s">
        <v>1011</v>
      </c>
      <c r="M9" s="104" t="s">
        <v>1007</v>
      </c>
      <c r="N9" s="17"/>
      <c r="O9" s="17"/>
    </row>
    <row r="10" ht="64.5" customHeight="1">
      <c r="A10" s="38" t="s">
        <v>1012</v>
      </c>
      <c r="B10" s="17" t="s">
        <v>1013</v>
      </c>
      <c r="C10" s="17" t="s">
        <v>1014</v>
      </c>
      <c r="D10" s="17">
        <v>0.0</v>
      </c>
      <c r="E10" s="19">
        <v>0.1</v>
      </c>
      <c r="F10" s="17">
        <v>0.0</v>
      </c>
      <c r="G10" s="17">
        <v>0.0</v>
      </c>
      <c r="H10" s="58">
        <f t="shared" si="3"/>
        <v>0.1</v>
      </c>
      <c r="I10" s="19">
        <v>0.7</v>
      </c>
      <c r="J10" s="34">
        <f t="shared" si="2"/>
        <v>0.1428571429</v>
      </c>
      <c r="K10" s="18" t="s">
        <v>1015</v>
      </c>
      <c r="L10" s="17"/>
      <c r="M10" s="18" t="s">
        <v>1016</v>
      </c>
      <c r="N10" s="17"/>
      <c r="O10" s="17"/>
    </row>
    <row r="11" ht="64.5" customHeight="1">
      <c r="A11" s="38" t="s">
        <v>1012</v>
      </c>
      <c r="B11" s="17" t="s">
        <v>1017</v>
      </c>
      <c r="C11" s="17" t="s">
        <v>1018</v>
      </c>
      <c r="D11" s="17">
        <v>0.0</v>
      </c>
      <c r="E11" s="17">
        <v>0.0</v>
      </c>
      <c r="F11" s="17">
        <v>0.0</v>
      </c>
      <c r="G11" s="17">
        <v>0.0</v>
      </c>
      <c r="H11" s="17">
        <f t="shared" si="3"/>
        <v>0</v>
      </c>
      <c r="I11" s="19">
        <v>0.6</v>
      </c>
      <c r="J11" s="34">
        <f t="shared" si="2"/>
        <v>0</v>
      </c>
      <c r="K11" s="18" t="s">
        <v>1019</v>
      </c>
      <c r="L11" s="17"/>
      <c r="M11" s="18" t="s">
        <v>1020</v>
      </c>
      <c r="N11" s="17"/>
      <c r="O11" s="17"/>
    </row>
    <row r="12" ht="64.5" customHeight="1">
      <c r="A12" s="17" t="s">
        <v>1021</v>
      </c>
      <c r="B12" s="17" t="s">
        <v>1022</v>
      </c>
      <c r="C12" s="18">
        <v>0.0</v>
      </c>
      <c r="D12" s="18">
        <v>0.0</v>
      </c>
      <c r="E12" s="19">
        <v>0.11</v>
      </c>
      <c r="F12" s="18">
        <v>0.0</v>
      </c>
      <c r="G12" s="18">
        <v>0.0</v>
      </c>
      <c r="H12" s="19">
        <f>SUM(D12:G12)</f>
        <v>0.11</v>
      </c>
      <c r="I12" s="19">
        <v>0.3</v>
      </c>
      <c r="J12" s="34">
        <f t="shared" si="2"/>
        <v>0.3666666667</v>
      </c>
      <c r="K12" s="17" t="s">
        <v>1023</v>
      </c>
      <c r="L12" s="17"/>
      <c r="M12" s="18" t="s">
        <v>1024</v>
      </c>
      <c r="N12" s="17"/>
      <c r="O12" s="17"/>
    </row>
    <row r="13" ht="64.5" customHeight="1">
      <c r="A13" s="29" t="s">
        <v>53</v>
      </c>
      <c r="B13" s="30"/>
      <c r="C13" s="30"/>
      <c r="D13" s="30"/>
      <c r="E13" s="30"/>
      <c r="F13" s="30"/>
      <c r="G13" s="30"/>
      <c r="H13" s="30"/>
      <c r="I13" s="30"/>
      <c r="J13" s="30"/>
      <c r="K13" s="30"/>
      <c r="L13" s="31"/>
      <c r="M13" s="31"/>
      <c r="N13" s="31"/>
      <c r="O13" s="31"/>
    </row>
    <row r="14" ht="64.5" customHeight="1">
      <c r="A14" s="11" t="s">
        <v>2</v>
      </c>
      <c r="B14" s="11" t="s">
        <v>3</v>
      </c>
      <c r="C14" s="11" t="s">
        <v>4</v>
      </c>
      <c r="D14" s="11" t="s">
        <v>1025</v>
      </c>
      <c r="E14" s="11" t="s">
        <v>1026</v>
      </c>
      <c r="F14" s="11" t="s">
        <v>1027</v>
      </c>
      <c r="G14" s="11" t="s">
        <v>1028</v>
      </c>
      <c r="H14" s="11" t="s">
        <v>9</v>
      </c>
      <c r="I14" s="11" t="s">
        <v>10</v>
      </c>
      <c r="J14" s="56" t="s">
        <v>301</v>
      </c>
      <c r="K14" s="11" t="s">
        <v>903</v>
      </c>
      <c r="L14" s="11" t="s">
        <v>1029</v>
      </c>
      <c r="M14" s="11" t="s">
        <v>1030</v>
      </c>
      <c r="N14" s="11" t="s">
        <v>1031</v>
      </c>
      <c r="O14" s="11" t="s">
        <v>1032</v>
      </c>
    </row>
    <row r="15" ht="64.5" customHeight="1">
      <c r="A15" s="127" t="s">
        <v>1033</v>
      </c>
      <c r="B15" s="17" t="s">
        <v>1034</v>
      </c>
      <c r="C15" s="17">
        <v>0.0</v>
      </c>
      <c r="D15" s="18">
        <v>0.0</v>
      </c>
      <c r="E15" s="17">
        <v>0.0</v>
      </c>
      <c r="F15" s="17">
        <v>0.0</v>
      </c>
      <c r="G15" s="17">
        <v>0.0</v>
      </c>
      <c r="H15" s="17">
        <f t="shared" ref="H15:H23" si="4">+D15+E15+F15+G15</f>
        <v>0</v>
      </c>
      <c r="I15" s="18">
        <v>1.0</v>
      </c>
      <c r="J15" s="34">
        <f t="shared" ref="J15:J20" si="5">H15/I15</f>
        <v>0</v>
      </c>
      <c r="K15" s="17" t="s">
        <v>1035</v>
      </c>
      <c r="L15" s="18" t="s">
        <v>1036</v>
      </c>
      <c r="M15" s="17"/>
      <c r="N15" s="17"/>
      <c r="O15" s="17"/>
    </row>
    <row r="16" ht="64.5" customHeight="1">
      <c r="A16" s="104" t="s">
        <v>1037</v>
      </c>
      <c r="B16" s="18" t="s">
        <v>1038</v>
      </c>
      <c r="C16" s="104" t="s">
        <v>1039</v>
      </c>
      <c r="D16" s="18">
        <v>0.0</v>
      </c>
      <c r="E16" s="18">
        <v>1.0</v>
      </c>
      <c r="F16" s="18">
        <v>0.0</v>
      </c>
      <c r="G16" s="18">
        <v>0.0</v>
      </c>
      <c r="H16" s="17">
        <f t="shared" si="4"/>
        <v>1</v>
      </c>
      <c r="I16" s="18">
        <v>1.0</v>
      </c>
      <c r="J16" s="34">
        <f t="shared" si="5"/>
        <v>1</v>
      </c>
      <c r="K16" s="104" t="s">
        <v>1040</v>
      </c>
      <c r="L16" s="104" t="s">
        <v>1036</v>
      </c>
      <c r="M16" s="104" t="s">
        <v>1041</v>
      </c>
      <c r="N16" s="17"/>
      <c r="O16" s="17"/>
    </row>
    <row r="17" ht="64.5" customHeight="1">
      <c r="A17" s="104" t="s">
        <v>1037</v>
      </c>
      <c r="B17" s="18" t="s">
        <v>1042</v>
      </c>
      <c r="C17" s="104" t="s">
        <v>1039</v>
      </c>
      <c r="D17" s="18">
        <v>0.0</v>
      </c>
      <c r="E17" s="18">
        <v>0.0</v>
      </c>
      <c r="F17" s="17">
        <v>0.0</v>
      </c>
      <c r="G17" s="18">
        <v>0.0</v>
      </c>
      <c r="H17" s="17">
        <f t="shared" si="4"/>
        <v>0</v>
      </c>
      <c r="I17" s="70">
        <v>0.7</v>
      </c>
      <c r="J17" s="128">
        <f t="shared" si="5"/>
        <v>0</v>
      </c>
      <c r="K17" s="104" t="s">
        <v>1043</v>
      </c>
      <c r="L17" s="104" t="s">
        <v>1036</v>
      </c>
      <c r="M17" s="104" t="s">
        <v>1041</v>
      </c>
      <c r="N17" s="17"/>
      <c r="O17" s="17"/>
    </row>
    <row r="18" ht="64.5" customHeight="1">
      <c r="A18" s="18" t="s">
        <v>1044</v>
      </c>
      <c r="B18" s="18" t="s">
        <v>1045</v>
      </c>
      <c r="C18" s="18" t="s">
        <v>1046</v>
      </c>
      <c r="D18" s="18">
        <v>1300.0</v>
      </c>
      <c r="E18" s="18">
        <v>2000.0</v>
      </c>
      <c r="F18" s="18">
        <v>0.0</v>
      </c>
      <c r="G18" s="18">
        <v>0.0</v>
      </c>
      <c r="H18" s="17">
        <f t="shared" si="4"/>
        <v>3300</v>
      </c>
      <c r="I18" s="18">
        <v>2400.0</v>
      </c>
      <c r="J18" s="34">
        <f t="shared" si="5"/>
        <v>1.375</v>
      </c>
      <c r="K18" s="18" t="s">
        <v>1047</v>
      </c>
      <c r="L18" s="18" t="s">
        <v>1048</v>
      </c>
      <c r="M18" s="18" t="s">
        <v>1049</v>
      </c>
      <c r="N18" s="17"/>
      <c r="O18" s="17"/>
    </row>
    <row r="19" ht="64.5" customHeight="1">
      <c r="A19" s="18" t="s">
        <v>1050</v>
      </c>
      <c r="B19" s="18" t="s">
        <v>1051</v>
      </c>
      <c r="C19" s="18" t="s">
        <v>1046</v>
      </c>
      <c r="D19" s="18">
        <v>750.0</v>
      </c>
      <c r="E19" s="18">
        <v>0.0</v>
      </c>
      <c r="F19" s="18">
        <v>0.0</v>
      </c>
      <c r="G19" s="18">
        <v>0.0</v>
      </c>
      <c r="H19" s="17">
        <f t="shared" si="4"/>
        <v>750</v>
      </c>
      <c r="I19" s="18">
        <v>1000.0</v>
      </c>
      <c r="J19" s="34">
        <f t="shared" si="5"/>
        <v>0.75</v>
      </c>
      <c r="K19" s="18" t="s">
        <v>1052</v>
      </c>
      <c r="L19" s="18" t="s">
        <v>1048</v>
      </c>
      <c r="M19" s="18" t="s">
        <v>1053</v>
      </c>
      <c r="N19" s="17"/>
      <c r="O19" s="17"/>
    </row>
    <row r="20" ht="64.5" customHeight="1">
      <c r="A20" s="18" t="s">
        <v>1054</v>
      </c>
      <c r="B20" s="18" t="s">
        <v>1055</v>
      </c>
      <c r="C20" s="18" t="s">
        <v>1056</v>
      </c>
      <c r="D20" s="18">
        <v>0.0</v>
      </c>
      <c r="E20" s="18">
        <v>1.0</v>
      </c>
      <c r="F20" s="18">
        <v>0.0</v>
      </c>
      <c r="G20" s="129">
        <v>0.0</v>
      </c>
      <c r="H20" s="17">
        <f t="shared" si="4"/>
        <v>1</v>
      </c>
      <c r="I20" s="18">
        <v>2.0</v>
      </c>
      <c r="J20" s="34">
        <f t="shared" si="5"/>
        <v>0.5</v>
      </c>
      <c r="K20" s="18" t="s">
        <v>1057</v>
      </c>
      <c r="L20" s="18" t="s">
        <v>1058</v>
      </c>
      <c r="M20" s="18" t="s">
        <v>1059</v>
      </c>
      <c r="N20" s="17"/>
      <c r="O20" s="17"/>
    </row>
    <row r="21" ht="64.5" customHeight="1">
      <c r="A21" s="18" t="s">
        <v>1060</v>
      </c>
      <c r="B21" s="18" t="s">
        <v>1061</v>
      </c>
      <c r="C21" s="18" t="s">
        <v>1062</v>
      </c>
      <c r="D21" s="130">
        <v>0.82</v>
      </c>
      <c r="E21" s="130">
        <v>0.1</v>
      </c>
      <c r="F21" s="131">
        <v>0.0</v>
      </c>
      <c r="G21" s="131">
        <v>0.0</v>
      </c>
      <c r="H21" s="58">
        <f t="shared" si="4"/>
        <v>0.92</v>
      </c>
      <c r="I21" s="19">
        <v>0.15</v>
      </c>
      <c r="J21" s="105">
        <v>0.82</v>
      </c>
      <c r="K21" s="18" t="s">
        <v>1063</v>
      </c>
      <c r="L21" s="18" t="s">
        <v>1064</v>
      </c>
      <c r="M21" s="18" t="s">
        <v>1065</v>
      </c>
      <c r="N21" s="17"/>
      <c r="O21" s="17"/>
    </row>
    <row r="22" ht="64.5" customHeight="1">
      <c r="A22" s="18" t="s">
        <v>1060</v>
      </c>
      <c r="B22" s="18" t="s">
        <v>1022</v>
      </c>
      <c r="C22" s="18">
        <v>0.0</v>
      </c>
      <c r="D22" s="131">
        <v>0.0</v>
      </c>
      <c r="E22" s="130">
        <v>0.08</v>
      </c>
      <c r="F22" s="131">
        <v>0.0</v>
      </c>
      <c r="G22" s="131">
        <v>0.0</v>
      </c>
      <c r="H22" s="58">
        <f t="shared" si="4"/>
        <v>0.08</v>
      </c>
      <c r="I22" s="19">
        <v>0.3</v>
      </c>
      <c r="J22" s="34">
        <f t="shared" ref="J22:J24" si="6">H22/I22</f>
        <v>0.2666666667</v>
      </c>
      <c r="K22" s="18" t="s">
        <v>1066</v>
      </c>
      <c r="L22" s="18" t="s">
        <v>1067</v>
      </c>
      <c r="M22" s="18" t="s">
        <v>1068</v>
      </c>
      <c r="N22" s="17"/>
      <c r="O22" s="17"/>
    </row>
    <row r="23" ht="64.5" customHeight="1">
      <c r="A23" s="18" t="s">
        <v>1069</v>
      </c>
      <c r="B23" s="18" t="s">
        <v>1070</v>
      </c>
      <c r="C23" s="18" t="s">
        <v>1071</v>
      </c>
      <c r="D23" s="131">
        <v>0.0</v>
      </c>
      <c r="E23" s="131">
        <v>0.0</v>
      </c>
      <c r="F23" s="131">
        <v>0.0</v>
      </c>
      <c r="G23" s="129">
        <v>0.0</v>
      </c>
      <c r="H23" s="17">
        <f t="shared" si="4"/>
        <v>0</v>
      </c>
      <c r="I23" s="19">
        <v>0.05</v>
      </c>
      <c r="J23" s="34">
        <f t="shared" si="6"/>
        <v>0</v>
      </c>
      <c r="K23" s="18" t="s">
        <v>1072</v>
      </c>
      <c r="L23" s="132"/>
      <c r="M23" s="18" t="s">
        <v>1073</v>
      </c>
      <c r="N23" s="17"/>
      <c r="O23" s="17"/>
    </row>
    <row r="24" ht="64.5" customHeight="1">
      <c r="A24" s="18" t="s">
        <v>1074</v>
      </c>
      <c r="B24" s="18" t="s">
        <v>1075</v>
      </c>
      <c r="C24" s="18">
        <v>0.0</v>
      </c>
      <c r="D24" s="131">
        <v>0.0</v>
      </c>
      <c r="E24" s="131">
        <v>0.0</v>
      </c>
      <c r="F24" s="131">
        <v>0.0</v>
      </c>
      <c r="G24" s="129">
        <v>0.0</v>
      </c>
      <c r="H24" s="18">
        <v>0.0</v>
      </c>
      <c r="I24" s="18">
        <v>1.0</v>
      </c>
      <c r="J24" s="34">
        <f t="shared" si="6"/>
        <v>0</v>
      </c>
      <c r="K24" s="18" t="s">
        <v>1076</v>
      </c>
      <c r="L24" s="18"/>
      <c r="M24" s="18" t="s">
        <v>1077</v>
      </c>
      <c r="N24" s="18"/>
      <c r="O24" s="18"/>
    </row>
    <row r="25">
      <c r="A25" s="125"/>
      <c r="B25" s="125"/>
      <c r="C25" s="125"/>
      <c r="D25" s="125"/>
      <c r="E25" s="125"/>
      <c r="F25" s="125"/>
      <c r="G25" s="125"/>
      <c r="H25" s="125"/>
      <c r="I25" s="125"/>
      <c r="J25" s="125"/>
      <c r="K25" s="125"/>
      <c r="L25" s="125"/>
      <c r="M25" s="125"/>
      <c r="N25" s="125"/>
      <c r="O25" s="125"/>
    </row>
    <row r="26">
      <c r="A26" s="125"/>
      <c r="B26" s="125"/>
      <c r="C26" s="125"/>
      <c r="D26" s="125"/>
      <c r="E26" s="125"/>
      <c r="F26" s="125"/>
      <c r="G26" s="125"/>
      <c r="H26" s="125"/>
      <c r="I26" s="125"/>
      <c r="J26" s="125"/>
      <c r="K26" s="125"/>
      <c r="L26" s="125"/>
      <c r="M26" s="125"/>
      <c r="N26" s="125"/>
      <c r="O26" s="125"/>
    </row>
    <row r="27">
      <c r="A27" s="125"/>
      <c r="B27" s="125"/>
      <c r="C27" s="125"/>
      <c r="D27" s="125"/>
      <c r="E27" s="125"/>
      <c r="F27" s="125"/>
      <c r="G27" s="125"/>
      <c r="H27" s="125"/>
      <c r="I27" s="125"/>
      <c r="J27" s="125"/>
      <c r="K27" s="125"/>
      <c r="L27" s="125"/>
      <c r="M27" s="125"/>
      <c r="N27" s="125"/>
      <c r="O27" s="125"/>
    </row>
    <row r="28">
      <c r="A28" s="125"/>
      <c r="B28" s="125"/>
      <c r="C28" s="125"/>
      <c r="D28" s="125"/>
      <c r="E28" s="125"/>
      <c r="F28" s="125"/>
      <c r="G28" s="125"/>
      <c r="H28" s="125"/>
      <c r="I28" s="125"/>
      <c r="J28" s="125"/>
      <c r="K28" s="125"/>
      <c r="L28" s="125"/>
      <c r="M28" s="125"/>
      <c r="N28" s="125"/>
      <c r="O28" s="125"/>
    </row>
    <row r="29">
      <c r="A29" s="125"/>
      <c r="B29" s="125"/>
      <c r="C29" s="125"/>
      <c r="D29" s="125"/>
      <c r="E29" s="125"/>
      <c r="F29" s="125"/>
      <c r="G29" s="125"/>
      <c r="H29" s="125"/>
      <c r="I29" s="125"/>
      <c r="J29" s="125"/>
      <c r="K29" s="125"/>
      <c r="L29" s="125"/>
      <c r="M29" s="125"/>
      <c r="N29" s="125"/>
      <c r="O29" s="125"/>
    </row>
    <row r="30">
      <c r="A30" s="125"/>
      <c r="B30" s="125"/>
      <c r="C30" s="125"/>
      <c r="D30" s="125"/>
      <c r="E30" s="125"/>
      <c r="F30" s="125"/>
      <c r="G30" s="125"/>
      <c r="H30" s="125"/>
      <c r="I30" s="125"/>
      <c r="J30" s="125"/>
      <c r="K30" s="125"/>
      <c r="L30" s="125"/>
      <c r="M30" s="125"/>
      <c r="N30" s="125"/>
      <c r="O30" s="125"/>
    </row>
    <row r="31">
      <c r="A31" s="125"/>
      <c r="B31" s="125"/>
      <c r="C31" s="125"/>
      <c r="D31" s="125"/>
      <c r="E31" s="125"/>
      <c r="F31" s="125"/>
      <c r="G31" s="125"/>
      <c r="H31" s="125"/>
      <c r="I31" s="125"/>
      <c r="J31" s="125"/>
      <c r="K31" s="125"/>
      <c r="L31" s="125"/>
      <c r="M31" s="125"/>
      <c r="N31" s="125"/>
      <c r="O31" s="125"/>
    </row>
    <row r="32">
      <c r="A32" s="125"/>
      <c r="B32" s="125"/>
      <c r="C32" s="125"/>
      <c r="D32" s="125"/>
      <c r="E32" s="125"/>
      <c r="F32" s="125"/>
      <c r="G32" s="125"/>
      <c r="H32" s="125"/>
      <c r="I32" s="125"/>
      <c r="J32" s="125"/>
      <c r="K32" s="125"/>
      <c r="L32" s="125"/>
      <c r="M32" s="125"/>
      <c r="N32" s="125"/>
      <c r="O32" s="125"/>
    </row>
    <row r="33">
      <c r="A33" s="125"/>
      <c r="B33" s="125"/>
      <c r="C33" s="125"/>
      <c r="D33" s="125"/>
      <c r="E33" s="125"/>
      <c r="F33" s="125"/>
      <c r="G33" s="125"/>
      <c r="H33" s="125"/>
      <c r="I33" s="125"/>
      <c r="J33" s="125"/>
      <c r="K33" s="125"/>
      <c r="L33" s="125"/>
      <c r="M33" s="125"/>
      <c r="N33" s="125"/>
      <c r="O33" s="125"/>
    </row>
  </sheetData>
  <mergeCells count="1">
    <mergeCell ref="A1:K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63"/>
    <col customWidth="1" min="2" max="2" width="43.0"/>
    <col customWidth="1" min="3" max="3" width="14.63"/>
    <col customWidth="1" min="4" max="4" width="11.25"/>
    <col customWidth="1" min="5" max="7" width="10.25"/>
    <col customWidth="1" min="8" max="10" width="12.88"/>
    <col customWidth="1" min="11" max="11" width="31.5"/>
    <col customWidth="1" min="12" max="12" width="20.5"/>
    <col customWidth="1" min="13" max="13" width="33.13"/>
    <col customWidth="1" min="14" max="14" width="22.13"/>
    <col customWidth="1" min="15" max="15" width="21.88"/>
    <col customWidth="1" min="16" max="29" width="10.63"/>
  </cols>
  <sheetData>
    <row r="1" ht="32.25" customHeight="1">
      <c r="A1" s="133" t="s">
        <v>1078</v>
      </c>
      <c r="B1" s="2"/>
      <c r="C1" s="2"/>
      <c r="D1" s="2"/>
      <c r="E1" s="2"/>
      <c r="F1" s="2"/>
      <c r="G1" s="2"/>
      <c r="H1" s="2"/>
      <c r="I1" s="2"/>
      <c r="J1" s="2"/>
      <c r="K1" s="2"/>
      <c r="L1" s="27"/>
      <c r="M1" s="27"/>
      <c r="N1" s="27"/>
      <c r="O1" s="28"/>
    </row>
    <row r="2" ht="14.25" customHeight="1"/>
    <row r="3" ht="58.5" customHeight="1">
      <c r="A3" s="134" t="s">
        <v>1</v>
      </c>
      <c r="B3" s="135"/>
      <c r="C3" s="135"/>
      <c r="D3" s="135"/>
      <c r="E3" s="135"/>
      <c r="F3" s="135"/>
      <c r="G3" s="135"/>
      <c r="H3" s="136"/>
      <c r="I3" s="136"/>
      <c r="J3" s="136"/>
      <c r="K3" s="137"/>
      <c r="L3" s="138"/>
      <c r="M3" s="138"/>
      <c r="N3" s="138"/>
      <c r="O3" s="139"/>
    </row>
    <row r="4" ht="58.5" customHeight="1">
      <c r="A4" s="11" t="s">
        <v>2</v>
      </c>
      <c r="B4" s="11" t="s">
        <v>3</v>
      </c>
      <c r="C4" s="11" t="s">
        <v>4</v>
      </c>
      <c r="D4" s="11" t="s">
        <v>1079</v>
      </c>
      <c r="E4" s="11" t="s">
        <v>1080</v>
      </c>
      <c r="F4" s="11" t="s">
        <v>1081</v>
      </c>
      <c r="G4" s="11" t="s">
        <v>1082</v>
      </c>
      <c r="H4" s="11" t="s">
        <v>9</v>
      </c>
      <c r="I4" s="11" t="s">
        <v>10</v>
      </c>
      <c r="J4" s="56" t="s">
        <v>301</v>
      </c>
      <c r="K4" s="11" t="s">
        <v>12</v>
      </c>
      <c r="L4" s="140" t="s">
        <v>1083</v>
      </c>
      <c r="M4" s="141" t="s">
        <v>1084</v>
      </c>
      <c r="N4" s="141" t="s">
        <v>1085</v>
      </c>
      <c r="O4" s="142" t="s">
        <v>1086</v>
      </c>
    </row>
    <row r="5" ht="58.5" customHeight="1">
      <c r="A5" s="16" t="s">
        <v>1087</v>
      </c>
      <c r="B5" s="16" t="s">
        <v>1088</v>
      </c>
      <c r="C5" s="63" t="s">
        <v>1089</v>
      </c>
      <c r="D5" s="143">
        <v>0.1</v>
      </c>
      <c r="E5" s="143">
        <v>0.65</v>
      </c>
      <c r="F5" s="63"/>
      <c r="G5" s="63"/>
      <c r="H5" s="143">
        <f>SUM(D5:G5)</f>
        <v>0.75</v>
      </c>
      <c r="I5" s="143">
        <v>0.7</v>
      </c>
      <c r="J5" s="144">
        <f>H5/I5</f>
        <v>1.071428571</v>
      </c>
      <c r="K5" s="145" t="s">
        <v>1090</v>
      </c>
      <c r="L5" s="146" t="s">
        <v>1091</v>
      </c>
      <c r="M5" s="145" t="s">
        <v>1092</v>
      </c>
      <c r="N5" s="63"/>
      <c r="O5" s="63"/>
    </row>
    <row r="6" ht="58.5" customHeight="1">
      <c r="A6" s="16" t="s">
        <v>1093</v>
      </c>
      <c r="B6" s="16" t="s">
        <v>1094</v>
      </c>
      <c r="C6" s="145" t="s">
        <v>1095</v>
      </c>
      <c r="D6" s="147" t="s">
        <v>1096</v>
      </c>
      <c r="E6" s="145">
        <v>1.0</v>
      </c>
      <c r="F6" s="63"/>
      <c r="G6" s="63"/>
      <c r="H6" s="145">
        <v>2.0</v>
      </c>
      <c r="I6" s="145">
        <v>2.0</v>
      </c>
      <c r="J6" s="148">
        <v>0.51</v>
      </c>
      <c r="K6" s="145" t="s">
        <v>1097</v>
      </c>
      <c r="L6" s="146" t="s">
        <v>1098</v>
      </c>
      <c r="M6" s="145" t="s">
        <v>1099</v>
      </c>
      <c r="N6" s="63"/>
      <c r="O6" s="63"/>
    </row>
    <row r="7" ht="58.5" customHeight="1">
      <c r="A7" s="149"/>
      <c r="B7" s="149"/>
      <c r="C7" s="125"/>
      <c r="D7" s="125"/>
      <c r="E7" s="125"/>
      <c r="F7" s="125"/>
      <c r="G7" s="125"/>
      <c r="H7" s="125"/>
      <c r="I7" s="125"/>
      <c r="J7" s="125"/>
      <c r="K7" s="125"/>
      <c r="L7" s="125"/>
      <c r="M7" s="125"/>
      <c r="N7" s="125"/>
      <c r="O7" s="125"/>
    </row>
    <row r="8" ht="58.5" customHeight="1">
      <c r="A8" s="150" t="s">
        <v>53</v>
      </c>
      <c r="B8" s="151"/>
      <c r="C8" s="151"/>
      <c r="D8" s="151"/>
      <c r="E8" s="151"/>
      <c r="F8" s="151"/>
      <c r="G8" s="151"/>
      <c r="H8" s="152"/>
      <c r="I8" s="152"/>
      <c r="J8" s="152"/>
      <c r="K8" s="153"/>
      <c r="L8" s="154"/>
      <c r="M8" s="154"/>
      <c r="N8" s="154"/>
      <c r="O8" s="155"/>
    </row>
    <row r="9" ht="58.5" customHeight="1">
      <c r="A9" s="9" t="s">
        <v>2</v>
      </c>
      <c r="B9" s="10" t="s">
        <v>3</v>
      </c>
      <c r="C9" s="10" t="s">
        <v>4</v>
      </c>
      <c r="D9" s="10" t="s">
        <v>1100</v>
      </c>
      <c r="E9" s="10" t="s">
        <v>1101</v>
      </c>
      <c r="F9" s="10" t="s">
        <v>1102</v>
      </c>
      <c r="G9" s="10" t="s">
        <v>1103</v>
      </c>
      <c r="H9" s="11" t="s">
        <v>9</v>
      </c>
      <c r="I9" s="11" t="s">
        <v>10</v>
      </c>
      <c r="J9" s="56" t="s">
        <v>301</v>
      </c>
      <c r="K9" s="14" t="s">
        <v>903</v>
      </c>
      <c r="L9" s="140" t="s">
        <v>1104</v>
      </c>
      <c r="M9" s="141" t="s">
        <v>1105</v>
      </c>
      <c r="N9" s="141" t="s">
        <v>1106</v>
      </c>
      <c r="O9" s="142" t="s">
        <v>1107</v>
      </c>
    </row>
    <row r="10" ht="58.5" customHeight="1">
      <c r="A10" s="16" t="s">
        <v>1108</v>
      </c>
      <c r="B10" s="156" t="s">
        <v>1109</v>
      </c>
      <c r="C10" s="146">
        <v>0.0</v>
      </c>
      <c r="D10" s="147">
        <v>15.0</v>
      </c>
      <c r="E10" s="61">
        <v>10.0</v>
      </c>
      <c r="F10" s="11"/>
      <c r="G10" s="11"/>
      <c r="H10" s="157">
        <f>SUM(D10:G10)</f>
        <v>25</v>
      </c>
      <c r="I10" s="145">
        <v>30.0</v>
      </c>
      <c r="J10" s="158">
        <v>0.15</v>
      </c>
      <c r="K10" s="145" t="s">
        <v>1110</v>
      </c>
      <c r="L10" s="145" t="s">
        <v>1111</v>
      </c>
      <c r="M10" s="49" t="s">
        <v>1112</v>
      </c>
      <c r="N10" s="11"/>
      <c r="O10" s="11"/>
    </row>
    <row r="11" ht="58.5" customHeight="1">
      <c r="A11" s="16" t="s">
        <v>1113</v>
      </c>
      <c r="B11" s="156" t="s">
        <v>1114</v>
      </c>
      <c r="C11" s="156" t="s">
        <v>1115</v>
      </c>
      <c r="D11" s="147">
        <v>5.0</v>
      </c>
      <c r="E11" s="61">
        <v>5.0</v>
      </c>
      <c r="F11" s="11"/>
      <c r="G11" s="11"/>
      <c r="H11" s="145">
        <v>5.0</v>
      </c>
      <c r="I11" s="145">
        <v>5.0</v>
      </c>
      <c r="J11" s="148">
        <v>0.72</v>
      </c>
      <c r="K11" s="146" t="s">
        <v>1116</v>
      </c>
      <c r="L11" s="145" t="s">
        <v>1117</v>
      </c>
      <c r="M11" s="145" t="s">
        <v>1118</v>
      </c>
      <c r="N11" s="11"/>
      <c r="O11" s="11"/>
    </row>
    <row r="12" ht="58.5" customHeight="1">
      <c r="A12" s="16" t="s">
        <v>1119</v>
      </c>
      <c r="B12" s="156" t="s">
        <v>1120</v>
      </c>
      <c r="C12" s="146">
        <v>0.0</v>
      </c>
      <c r="D12" s="146">
        <v>450.0</v>
      </c>
      <c r="E12" s="61">
        <v>3100.0</v>
      </c>
      <c r="F12" s="11"/>
      <c r="G12" s="11"/>
      <c r="H12" s="145">
        <f t="shared" ref="H12:H19" si="1">SUM(D12:G12)</f>
        <v>3550</v>
      </c>
      <c r="I12" s="145">
        <v>3300.0</v>
      </c>
      <c r="J12" s="159">
        <f t="shared" ref="J12:J19" si="2">H12/I12</f>
        <v>1.075757576</v>
      </c>
      <c r="K12" s="145" t="s">
        <v>1121</v>
      </c>
      <c r="L12" s="145" t="s">
        <v>1122</v>
      </c>
      <c r="M12" s="145" t="s">
        <v>1123</v>
      </c>
      <c r="N12" s="11"/>
      <c r="O12" s="11"/>
    </row>
    <row r="13" ht="58.5" customHeight="1">
      <c r="A13" s="16" t="s">
        <v>1124</v>
      </c>
      <c r="B13" s="156" t="s">
        <v>1125</v>
      </c>
      <c r="C13" s="160" t="s">
        <v>1126</v>
      </c>
      <c r="D13" s="146">
        <v>3.39</v>
      </c>
      <c r="E13" s="61">
        <v>0.0</v>
      </c>
      <c r="F13" s="11"/>
      <c r="G13" s="11"/>
      <c r="H13" s="145">
        <f t="shared" si="1"/>
        <v>3.39</v>
      </c>
      <c r="I13" s="145">
        <v>20.0</v>
      </c>
      <c r="J13" s="158">
        <f t="shared" si="2"/>
        <v>0.1695</v>
      </c>
      <c r="K13" s="156" t="s">
        <v>1127</v>
      </c>
      <c r="L13" s="145" t="s">
        <v>1128</v>
      </c>
      <c r="M13" s="145" t="s">
        <v>1129</v>
      </c>
      <c r="N13" s="11"/>
      <c r="O13" s="11"/>
    </row>
    <row r="14" ht="58.5" customHeight="1">
      <c r="A14" s="32" t="s">
        <v>1130</v>
      </c>
      <c r="B14" s="156" t="s">
        <v>1131</v>
      </c>
      <c r="C14" s="156" t="s">
        <v>1132</v>
      </c>
      <c r="D14" s="146">
        <v>0.0</v>
      </c>
      <c r="E14" s="61" t="s">
        <v>1133</v>
      </c>
      <c r="F14" s="11"/>
      <c r="G14" s="11"/>
      <c r="H14" s="145">
        <f t="shared" si="1"/>
        <v>0</v>
      </c>
      <c r="I14" s="145">
        <v>5.0</v>
      </c>
      <c r="J14" s="158">
        <f t="shared" si="2"/>
        <v>0</v>
      </c>
      <c r="K14" s="145" t="s">
        <v>1134</v>
      </c>
      <c r="L14" s="145" t="s">
        <v>1133</v>
      </c>
      <c r="M14" s="145" t="s">
        <v>1135</v>
      </c>
      <c r="N14" s="11"/>
      <c r="O14" s="11"/>
    </row>
    <row r="15" ht="58.5" customHeight="1">
      <c r="A15" s="32" t="s">
        <v>1130</v>
      </c>
      <c r="B15" s="156" t="s">
        <v>1136</v>
      </c>
      <c r="C15" s="156" t="s">
        <v>1137</v>
      </c>
      <c r="D15" s="146">
        <v>47.0</v>
      </c>
      <c r="E15" s="61">
        <v>65.0</v>
      </c>
      <c r="F15" s="11"/>
      <c r="G15" s="11"/>
      <c r="H15" s="145">
        <f t="shared" si="1"/>
        <v>112</v>
      </c>
      <c r="I15" s="145">
        <v>80.0</v>
      </c>
      <c r="J15" s="159">
        <f t="shared" si="2"/>
        <v>1.4</v>
      </c>
      <c r="K15" s="145" t="s">
        <v>1138</v>
      </c>
      <c r="L15" s="145" t="s">
        <v>1139</v>
      </c>
      <c r="M15" s="145" t="s">
        <v>1140</v>
      </c>
      <c r="N15" s="11"/>
      <c r="O15" s="11"/>
    </row>
    <row r="16" ht="58.5" customHeight="1">
      <c r="A16" s="20" t="s">
        <v>1141</v>
      </c>
      <c r="B16" s="156" t="s">
        <v>1142</v>
      </c>
      <c r="C16" s="156" t="s">
        <v>1143</v>
      </c>
      <c r="D16" s="146">
        <v>0.0</v>
      </c>
      <c r="E16" s="61">
        <v>60.0</v>
      </c>
      <c r="F16" s="11"/>
      <c r="G16" s="11"/>
      <c r="H16" s="145">
        <f t="shared" si="1"/>
        <v>60</v>
      </c>
      <c r="I16" s="145">
        <v>21.0</v>
      </c>
      <c r="J16" s="159">
        <f t="shared" si="2"/>
        <v>2.857142857</v>
      </c>
      <c r="K16" s="145" t="s">
        <v>1144</v>
      </c>
      <c r="L16" s="145" t="s">
        <v>1133</v>
      </c>
      <c r="M16" s="145" t="s">
        <v>1145</v>
      </c>
      <c r="N16" s="11"/>
      <c r="O16" s="11"/>
    </row>
    <row r="17" ht="58.5" customHeight="1">
      <c r="A17" s="33" t="s">
        <v>1146</v>
      </c>
      <c r="B17" s="156" t="s">
        <v>1147</v>
      </c>
      <c r="C17" s="161" t="s">
        <v>1148</v>
      </c>
      <c r="D17" s="146">
        <v>0.0</v>
      </c>
      <c r="E17" s="61">
        <v>10.0</v>
      </c>
      <c r="F17" s="11"/>
      <c r="G17" s="11"/>
      <c r="H17" s="145">
        <f t="shared" si="1"/>
        <v>10</v>
      </c>
      <c r="I17" s="145">
        <v>7.0</v>
      </c>
      <c r="J17" s="159">
        <f t="shared" si="2"/>
        <v>1.428571429</v>
      </c>
      <c r="K17" s="145" t="s">
        <v>1149</v>
      </c>
      <c r="L17" s="145" t="s">
        <v>1133</v>
      </c>
      <c r="M17" s="145" t="s">
        <v>1150</v>
      </c>
      <c r="N17" s="11"/>
      <c r="O17" s="11"/>
    </row>
    <row r="18" ht="58.5" customHeight="1">
      <c r="A18" s="33" t="s">
        <v>1146</v>
      </c>
      <c r="B18" s="156" t="s">
        <v>1151</v>
      </c>
      <c r="C18" s="161" t="s">
        <v>1152</v>
      </c>
      <c r="D18" s="146">
        <v>0.0</v>
      </c>
      <c r="E18" s="61">
        <v>0.0</v>
      </c>
      <c r="F18" s="11"/>
      <c r="G18" s="11"/>
      <c r="H18" s="145">
        <f t="shared" si="1"/>
        <v>0</v>
      </c>
      <c r="I18" s="145">
        <v>1.0</v>
      </c>
      <c r="J18" s="158">
        <f t="shared" si="2"/>
        <v>0</v>
      </c>
      <c r="K18" s="145" t="s">
        <v>1153</v>
      </c>
      <c r="L18" s="145" t="s">
        <v>1133</v>
      </c>
      <c r="M18" s="162" t="s">
        <v>1154</v>
      </c>
      <c r="N18" s="11"/>
      <c r="O18" s="11"/>
    </row>
    <row r="19" ht="58.5" customHeight="1">
      <c r="A19" s="33" t="s">
        <v>1146</v>
      </c>
      <c r="B19" s="160" t="s">
        <v>1155</v>
      </c>
      <c r="C19" s="161" t="s">
        <v>1156</v>
      </c>
      <c r="D19" s="146">
        <v>0.0</v>
      </c>
      <c r="E19" s="61">
        <v>0.0</v>
      </c>
      <c r="F19" s="11"/>
      <c r="G19" s="11"/>
      <c r="H19" s="145">
        <f t="shared" si="1"/>
        <v>0</v>
      </c>
      <c r="I19" s="145">
        <v>4.0</v>
      </c>
      <c r="J19" s="158">
        <f t="shared" si="2"/>
        <v>0</v>
      </c>
      <c r="K19" s="145" t="s">
        <v>1157</v>
      </c>
      <c r="L19" s="145" t="s">
        <v>1133</v>
      </c>
      <c r="M19" s="145" t="s">
        <v>1158</v>
      </c>
      <c r="N19" s="11"/>
      <c r="O19" s="11"/>
    </row>
    <row r="20" ht="14.25" customHeight="1">
      <c r="A20" s="125"/>
      <c r="B20" s="125"/>
      <c r="C20" s="125"/>
      <c r="D20" s="125"/>
      <c r="E20" s="125"/>
      <c r="F20" s="125"/>
      <c r="G20" s="125"/>
      <c r="H20" s="125"/>
      <c r="I20" s="125"/>
      <c r="J20" s="125"/>
      <c r="K20" s="125"/>
      <c r="L20" s="125"/>
      <c r="M20" s="125"/>
      <c r="N20" s="125"/>
      <c r="O20" s="125"/>
    </row>
    <row r="21" ht="14.25" customHeight="1">
      <c r="A21" s="125"/>
      <c r="B21" s="125"/>
      <c r="C21" s="125"/>
      <c r="D21" s="125"/>
      <c r="E21" s="125"/>
      <c r="F21" s="125"/>
      <c r="G21" s="125"/>
      <c r="H21" s="125"/>
      <c r="I21" s="125"/>
      <c r="J21" s="125"/>
      <c r="K21" s="125"/>
      <c r="L21" s="125"/>
      <c r="M21" s="125"/>
      <c r="N21" s="125"/>
      <c r="O21" s="125"/>
    </row>
    <row r="22" ht="14.25" customHeight="1">
      <c r="A22" s="125"/>
      <c r="B22" s="125"/>
      <c r="C22" s="125"/>
      <c r="D22" s="125"/>
      <c r="E22" s="125"/>
      <c r="F22" s="125"/>
      <c r="G22" s="125"/>
      <c r="H22" s="125"/>
      <c r="I22" s="125"/>
      <c r="J22" s="125"/>
      <c r="K22" s="125"/>
      <c r="L22" s="125"/>
      <c r="M22" s="125"/>
      <c r="N22" s="125"/>
      <c r="O22" s="125"/>
    </row>
    <row r="23" ht="14.25" customHeight="1">
      <c r="A23" s="125"/>
      <c r="B23" s="125"/>
      <c r="C23" s="125"/>
      <c r="D23" s="125"/>
      <c r="E23" s="125"/>
      <c r="F23" s="125"/>
      <c r="G23" s="125"/>
      <c r="H23" s="125"/>
      <c r="I23" s="125"/>
      <c r="J23" s="125"/>
      <c r="K23" s="125"/>
      <c r="L23" s="125"/>
      <c r="M23" s="125"/>
      <c r="N23" s="125"/>
      <c r="O23" s="125"/>
    </row>
    <row r="24" ht="14.25" customHeight="1">
      <c r="A24" s="125"/>
      <c r="B24" s="125"/>
      <c r="C24" s="125"/>
      <c r="D24" s="125"/>
      <c r="E24" s="125"/>
      <c r="F24" s="125"/>
      <c r="G24" s="125"/>
      <c r="H24" s="125"/>
      <c r="I24" s="125"/>
      <c r="J24" s="125"/>
      <c r="K24" s="125"/>
      <c r="L24" s="125"/>
      <c r="M24" s="125"/>
      <c r="N24" s="125"/>
      <c r="O24" s="125"/>
    </row>
    <row r="25" ht="14.25" customHeight="1">
      <c r="A25" s="125"/>
      <c r="B25" s="125"/>
      <c r="C25" s="125"/>
      <c r="D25" s="125"/>
      <c r="E25" s="125"/>
      <c r="F25" s="125"/>
      <c r="G25" s="125"/>
      <c r="H25" s="125"/>
      <c r="I25" s="125"/>
      <c r="J25" s="125"/>
      <c r="K25" s="125"/>
      <c r="L25" s="125"/>
      <c r="M25" s="125"/>
      <c r="N25" s="125"/>
      <c r="O25" s="125"/>
    </row>
    <row r="26" ht="14.25" customHeight="1">
      <c r="A26" s="125"/>
      <c r="B26" s="125"/>
      <c r="C26" s="125"/>
      <c r="D26" s="125"/>
      <c r="E26" s="125"/>
      <c r="F26" s="125"/>
      <c r="G26" s="125"/>
      <c r="H26" s="125"/>
      <c r="I26" s="125"/>
      <c r="J26" s="125"/>
      <c r="K26" s="125"/>
      <c r="L26" s="125"/>
      <c r="M26" s="125"/>
      <c r="N26" s="125"/>
      <c r="O26" s="125"/>
    </row>
    <row r="27" ht="14.25" customHeight="1">
      <c r="A27" s="125"/>
      <c r="B27" s="125"/>
      <c r="C27" s="125"/>
      <c r="D27" s="125"/>
      <c r="E27" s="125"/>
      <c r="F27" s="125"/>
      <c r="G27" s="125"/>
      <c r="H27" s="125"/>
      <c r="I27" s="125"/>
      <c r="J27" s="125"/>
      <c r="K27" s="125"/>
      <c r="L27" s="125"/>
      <c r="M27" s="125"/>
      <c r="N27" s="125"/>
      <c r="O27" s="125"/>
    </row>
    <row r="28" ht="14.25" customHeight="1">
      <c r="A28" s="125"/>
      <c r="B28" s="125"/>
      <c r="C28" s="125"/>
      <c r="D28" s="125"/>
      <c r="E28" s="125"/>
      <c r="F28" s="125"/>
      <c r="G28" s="125"/>
      <c r="H28" s="125"/>
      <c r="I28" s="125"/>
      <c r="J28" s="125"/>
      <c r="K28" s="125"/>
      <c r="L28" s="125"/>
      <c r="M28" s="125"/>
      <c r="N28" s="125"/>
      <c r="O28" s="125"/>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sheetData>
  <mergeCells count="1">
    <mergeCell ref="A1:K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2025-11-06T19:52:03Z</dcterms:created>
  <dc:creator>Rev101</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0x010100825A58A8A01239428BDF46D269BE4A48</vt:lpwstr>
  </property>
  <property fmtid="{D5CDD505-2E9C-101B-9397-08002B2CF9AE}" pid="3" name="MediaServiceImageTags">
    <vt:lpwstr/>
  </property>
</Properties>
</file>